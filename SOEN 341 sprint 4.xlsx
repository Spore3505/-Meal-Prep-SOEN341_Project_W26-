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ombi\Downloads\"/>
    </mc:Choice>
  </mc:AlternateContent>
  <xr:revisionPtr revIDLastSave="0" documentId="13_ncr:1_{88F98648-2952-44F8-9B71-B330F3DC8287}" xr6:coauthVersionLast="47" xr6:coauthVersionMax="47" xr10:uidLastSave="{00000000-0000-0000-0000-000000000000}"/>
  <bookViews>
    <workbookView xWindow="1125" yWindow="1125" windowWidth="21600" windowHeight="11295" firstSheet="7" activeTab="7" xr2:uid="{00000000-000D-0000-FFFF-FFFF00000000}"/>
  </bookViews>
  <sheets>
    <sheet name="Cover Page" sheetId="1" r:id="rId1"/>
    <sheet name="Product Backlog" sheetId="2" r:id="rId2"/>
    <sheet name="Sheet1" sheetId="9" r:id="rId3"/>
    <sheet name="Sprint 1" sheetId="5" r:id="rId4"/>
    <sheet name="Product backlog 2 sample" sheetId="3" state="hidden" r:id="rId5"/>
    <sheet name="Sprint 2" sheetId="7" r:id="rId6"/>
    <sheet name="Sprint 3" sheetId="8" r:id="rId7"/>
    <sheet name="Sprint 4"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1" l="1"/>
  <c r="E24" i="8"/>
  <c r="E21" i="7"/>
  <c r="N10" i="2"/>
  <c r="N9" i="2"/>
  <c r="G29" i="2"/>
  <c r="G22" i="2"/>
  <c r="G7" i="2"/>
  <c r="E21" i="5"/>
  <c r="D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97CCF55-6279-4103-A47B-208B9F91E8FC}">
      <text>
        <r>
          <rPr>
            <b/>
            <sz val="9"/>
            <color indexed="81"/>
            <rFont val="Tahoma"/>
            <family val="2"/>
          </rPr>
          <t>ECE:</t>
        </r>
        <r>
          <rPr>
            <sz val="9"/>
            <color indexed="81"/>
            <rFont val="Tahoma"/>
            <family val="2"/>
          </rPr>
          <t xml:space="preserve">
Should be less than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411C846-92DB-42B9-B59C-499D940E01AE}">
      <text>
        <r>
          <rPr>
            <b/>
            <sz val="9"/>
            <color indexed="81"/>
            <rFont val="Tahoma"/>
            <family val="2"/>
          </rPr>
          <t>ECE:</t>
        </r>
        <r>
          <rPr>
            <sz val="9"/>
            <color indexed="81"/>
            <rFont val="Tahoma"/>
            <family val="2"/>
          </rPr>
          <t xml:space="preserve">
Should be less than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F63481DC-41B2-479E-BF72-3EA77CC3C23A}">
      <text>
        <r>
          <rPr>
            <b/>
            <sz val="9"/>
            <color indexed="81"/>
            <rFont val="Tahoma"/>
            <family val="2"/>
          </rPr>
          <t>ECE:</t>
        </r>
        <r>
          <rPr>
            <sz val="9"/>
            <color indexed="81"/>
            <rFont val="Tahoma"/>
            <family val="2"/>
          </rPr>
          <t xml:space="preserve">
Should be less than 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BB81A025-048A-4FA1-873E-77C84D7ACE35}">
      <text>
        <r>
          <rPr>
            <b/>
            <sz val="9"/>
            <color indexed="81"/>
            <rFont val="Tahoma"/>
            <family val="2"/>
          </rPr>
          <t>ECE:</t>
        </r>
        <r>
          <rPr>
            <sz val="9"/>
            <color indexed="81"/>
            <rFont val="Tahoma"/>
            <family val="2"/>
          </rPr>
          <t xml:space="preserve">
Should be less than 5</t>
        </r>
      </text>
    </comment>
  </commentList>
</comments>
</file>

<file path=xl/sharedStrings.xml><?xml version="1.0" encoding="utf-8"?>
<sst xmlns="http://schemas.openxmlformats.org/spreadsheetml/2006/main" count="491" uniqueCount="357">
  <si>
    <t>Meal-Prep SPRINT PLAN</t>
  </si>
  <si>
    <t>Prepared By:Yalan Luo</t>
  </si>
  <si>
    <t>LIST TEAM MEMBER FULL NAMES WITH STUDENT ID</t>
  </si>
  <si>
    <t>Mathieu Boileau (40257130)</t>
  </si>
  <si>
    <t>Christopher Dunn (40285514)</t>
  </si>
  <si>
    <t>Yalan Luo (40275103)</t>
  </si>
  <si>
    <t>Muhammad Mobin Syed (40299024)</t>
  </si>
  <si>
    <t>Ali Kotb (40217082)</t>
  </si>
  <si>
    <t>Story ID#</t>
  </si>
  <si>
    <t>Pre-Requisite</t>
  </si>
  <si>
    <t>User title</t>
  </si>
  <si>
    <t>Story Point</t>
  </si>
  <si>
    <t>user story</t>
  </si>
  <si>
    <t>Associated Tasks</t>
  </si>
  <si>
    <t>Story points associated to a US</t>
  </si>
  <si>
    <t>Priority</t>
  </si>
  <si>
    <t>Risk (High, Medium, Low)</t>
  </si>
  <si>
    <t xml:space="preserve">Responsible </t>
  </si>
  <si>
    <t xml:space="preserve">Due date </t>
  </si>
  <si>
    <t>US.1</t>
  </si>
  <si>
    <t>None</t>
  </si>
  <si>
    <t>Implement Frontend UI for Home and User Authentication Pages</t>
  </si>
  <si>
    <t>As a user, I want the option to log in or register so that I can access the application based on my account status.</t>
  </si>
  <si>
    <t>Create home page / Log in / account page / register page</t>
  </si>
  <si>
    <t xml:space="preserve">HIGH </t>
  </si>
  <si>
    <t>HIGH : As a core and critical component of the website, any defects in the login functionality may prevent users from accessing their accounts or result in potential data access risks.</t>
  </si>
  <si>
    <t xml:space="preserve"> -Mathieu     -Christopher 
- </t>
  </si>
  <si>
    <t>January 31st</t>
  </si>
  <si>
    <t>week 1</t>
  </si>
  <si>
    <t>US.2</t>
  </si>
  <si>
    <t>none</t>
  </si>
  <si>
    <t xml:space="preserve">Profile Management </t>
  </si>
  <si>
    <t>as a user I want to be able to change my diet preferences, profile informations, and alergies</t>
  </si>
  <si>
    <t>Create list of diet preferences and implement in page , create a alergies and page for it aswell</t>
  </si>
  <si>
    <t xml:space="preserve">MEDIUM </t>
  </si>
  <si>
    <t>LOW ：It determines whether users can access the website’s core functionality based on their account information after login.</t>
  </si>
  <si>
    <t xml:space="preserve"> -Muhammad
</t>
  </si>
  <si>
    <t>February 2nd</t>
  </si>
  <si>
    <t>US.3</t>
  </si>
  <si>
    <t>US.1 &amp; US.2</t>
  </si>
  <si>
    <t>Customizing UI</t>
  </si>
  <si>
    <t>As a user, I expect the website's pages and webpage themes to be relevant.</t>
  </si>
  <si>
    <t>Improve log in pages + all associated Pages + make logo.The button changes color when the mouse hovers over it, providing instant feedback.</t>
  </si>
  <si>
    <t>LOW</t>
  </si>
  <si>
    <t>LOW：It determines whether users can recognize and use the various features of the website. Unclear UI design leads to a degraded user experience.</t>
  </si>
  <si>
    <t xml:space="preserve"> Yalan , Ali</t>
  </si>
  <si>
    <t>February  5th</t>
  </si>
  <si>
    <t>Week 2</t>
  </si>
  <si>
    <t>US.4</t>
  </si>
  <si>
    <t>Implement Backend Services for User Management and Data Handling</t>
  </si>
  <si>
    <t>As the system, I need to provide a backend for the website so that the frontend can interact with data, manage users, and deliver full functionality.</t>
  </si>
  <si>
    <t>Create database which includes diet preferences, allergies, username and password.  Create a function that receives data from registration and stores it in the database. Include error checking in the registration to ensure unique usernames</t>
  </si>
  <si>
    <t>HIGH：It determines whether input data across the website can be properly linked and stored. Incorrect associations may cause system failures and lead to leakage of other users’ information.</t>
  </si>
  <si>
    <t xml:space="preserve"> -Mathieu
-Christopher
- Muhammed</t>
  </si>
  <si>
    <t>February 4th</t>
  </si>
  <si>
    <t>Total:</t>
  </si>
  <si>
    <t>US .5</t>
  </si>
  <si>
    <t xml:space="preserve">US.1, US.4, </t>
  </si>
  <si>
    <t>Create edit and delete recipes</t>
  </si>
  <si>
    <t>As a user, I want the option to create and manage my own recipes</t>
  </si>
  <si>
    <t>frontend: create a front end form that collects all information(steps, ingredients, preperation, dietary tags, difficulty, duration, cuisines, equipment) /     create button that lets the user modify recipe.       attributes    / create button to delete recipes   Backend: create class called recipe that can receive data from the form and store the data in the txt file.  create function that receives button input that lets the user modify recipes. create a function that deletes recipe object from array</t>
  </si>
  <si>
    <t>HIGH :</t>
  </si>
  <si>
    <t>HIGH : This needs to be done right away, every user story in this iteration will depend on this user story. Users may accidentally delete a recipe, causing permanent data loss</t>
  </si>
  <si>
    <t>MOE CHRIS</t>
  </si>
  <si>
    <t>US.6</t>
  </si>
  <si>
    <t>US.5</t>
  </si>
  <si>
    <t>Search recipes</t>
  </si>
  <si>
    <t>As a user, i want to be able to search recipes that I have already created</t>
  </si>
  <si>
    <t>Create Search recipes page / Create a backend to handle search requests/ Connect the frontend to the backend ./Design and implement the search bar on the frontend.</t>
  </si>
  <si>
    <t>HIGH : It determines wheter users can search recipes or not.Search results may include irrelevant or duplicated recipes</t>
  </si>
  <si>
    <t>MOE        Mathieu</t>
  </si>
  <si>
    <t>US.7</t>
  </si>
  <si>
    <t>filter recipes</t>
  </si>
  <si>
    <t>As the user, I need to have the option to filter recipes by , Time, difficulty, cost, dietary tag, etc.</t>
  </si>
  <si>
    <t>Implement frontend logic to send selected filters to the backend</t>
  </si>
  <si>
    <t>MEDIUM：Search results may include irrelevant or duplicated recipes.</t>
  </si>
  <si>
    <t>ALI YALAN</t>
  </si>
  <si>
    <t>US.8</t>
  </si>
  <si>
    <t>Add CSS to registration page</t>
  </si>
  <si>
    <t>As the user, id would like the registration to be more user friendly with better style</t>
  </si>
  <si>
    <t>update the CSS file for the registration page.</t>
  </si>
  <si>
    <t>CHRIS</t>
  </si>
  <si>
    <t>US.9</t>
  </si>
  <si>
    <t>Create a page to view recipes</t>
  </si>
  <si>
    <t>As a user, after I am authenticated and loaded into the home page, i would like to see some of the recipes i have already created</t>
  </si>
  <si>
    <t>Create frontend page that the user can interact with to view recipes / dynamically display global and personal recipes</t>
  </si>
  <si>
    <t>High</t>
  </si>
  <si>
    <t>HIGH: as soon as the user logs in, this page is what they see, the user should be able to see recipes without explicitly searching,  if not well implemented, will hurt customer experience</t>
  </si>
  <si>
    <t>Mathieu       MOE</t>
  </si>
  <si>
    <t>US. 10</t>
  </si>
  <si>
    <t>US. 5</t>
  </si>
  <si>
    <t>add dieterary tags to filter and recipe creation page</t>
  </si>
  <si>
    <t>As a user, I would like to filter recipes by dietary tags</t>
  </si>
  <si>
    <t>Add dietary tags to recipe creation page / add backend logic to store and manage dietary tags / add front end filter input box to view recipe page  add backend logic to filter recipes by dietary tags/ implement front end filter input box</t>
  </si>
  <si>
    <t>low: Low: This user story is an addition to Sprint 2 – User Story 7. It is independent of other user stories and has no dependencies, making the risk of delays or blockers minimal.</t>
  </si>
  <si>
    <t>Yalan MOE</t>
  </si>
  <si>
    <t>March 27th</t>
  </si>
  <si>
    <t>US. 11</t>
  </si>
  <si>
    <t>Create and View Weekly  meal Planner Items on a Single Page</t>
  </si>
  <si>
    <t xml:space="preserve">As a user, I want to add new meals to my weekly meal prep plan and see all planned meals for the week in one place,
</t>
  </si>
  <si>
    <t>Display a weekly grid (Monday–Sunday) with sections for breakfast, lunch, and dinner. Each section should have enough space to display added recipes clearly.
Add frontend interactive functionality to add recipes to each meal slot
implement backend logic to store saved recipes into the database.
implement backend logic to fetch weekly meal plan data when page is loaded.
implement a function to check for duplicate recipes when adding a recipe, prompt the user to confirm before adding if a duplicate recipe is found.</t>
  </si>
  <si>
    <t>HIGH</t>
  </si>
  <si>
    <t>High: This task is critical to ensuring the sprint requirements are met. It must be implemented correctly, as it directly impacts core functionality. Additionally, this user story is a prerequisite for US-12, increasing its risk if delays or issues occur.</t>
  </si>
  <si>
    <t>Mathieu.Moe</t>
  </si>
  <si>
    <t>march 20th</t>
  </si>
  <si>
    <t>US 12</t>
  </si>
  <si>
    <t>“Pick a recipe for me”</t>
  </si>
  <si>
    <t>As a user, I would like to be able to have a random recipe suggested to me when I am uncertain what I want, it should ask me few questions to "catch my vibe"</t>
  </si>
  <si>
    <t>implement frontend page that loads random recipe from all recipes into one page that the user can save recipes to their own collection. /implement function to check for duplicate recipes (ex, if I have an existing recipe with the same name)
connect current backend to new front end page to easily save recipes to their own profile.
add function to keep track of recipes that were not saved to avoid having a user see the same recipes that they were not interested in.</t>
  </si>
  <si>
    <t>Medium: This task is important for user functionality, but the implementation difficulty is relatively moderate compared to other user stories. It has no external dependencies and is unlikely to cause delays, though it still carries some risk due to its impact on user-facing functionality.</t>
  </si>
  <si>
    <t>Ali, Chris</t>
  </si>
  <si>
    <t>march 27th</t>
  </si>
  <si>
    <t>US 13</t>
  </si>
  <si>
    <t>US 11</t>
  </si>
  <si>
    <t>Edit or remove meals</t>
  </si>
  <si>
    <t>As a user I would like to able to modify my existing meal plan by editing or removing meals</t>
  </si>
  <si>
    <t>Allow users to edit existing meals directly in the weekly meal planner grid. / Implement backend logic to edit meals in the database when prompted. / allow users to remove existing meals directly in the weekly planner grid. / Implement backend logic to delete meals from the database</t>
  </si>
  <si>
    <t>MEDIUM</t>
  </si>
  <si>
    <t>MEDIUM: This task is important for user functionality. The difficulty is moderate, but errors will impact the user’s ability to manage their meal plan.</t>
  </si>
  <si>
    <t>Mathieu, Moe</t>
  </si>
  <si>
    <t>US 14</t>
  </si>
  <si>
    <t>US 15</t>
  </si>
  <si>
    <t>Static analysis</t>
  </si>
  <si>
    <t>As a system, I need to ensure that each time an update is made, the JS and CSS codes conform to standard formats and that any bugs are identified.</t>
  </si>
  <si>
    <t>Write the corresponding checking rules for JS using ESLint / write  the rules for CSS using Stylelint. / Use Husky to set up pre-commit, so that the updated code is checked through `git add` and the format issues are fixed automatically.</t>
  </si>
  <si>
    <t xml:space="preserve">MEDIUM：this task is important for update code and standard format.It adjusted the existing code to conform to the standard format. </t>
  </si>
  <si>
    <t>Yalan</t>
  </si>
  <si>
    <t>US 10, US 11</t>
  </si>
  <si>
    <t>Finishing Unique feature</t>
  </si>
  <si>
    <t>As a system i need to ensure that a new recepie is generated when a user gives specific instructions</t>
  </si>
  <si>
    <t>Write the code for a random recepie generator that creates a new recipe everytime when a user wnats to try something new. Based o th 5 questins a new recepie is generaterd as long as it doesn't already exist in the users personal collection</t>
  </si>
  <si>
    <t xml:space="preserve">HIgh: this task is important as it makes our webapp different from others </t>
  </si>
  <si>
    <t>Muhammad</t>
  </si>
  <si>
    <t xml:space="preserve">April 9th </t>
  </si>
  <si>
    <t>US 16</t>
  </si>
  <si>
    <t xml:space="preserve">reorganizing file structure </t>
  </si>
  <si>
    <t>As a system, i need to ensure that the files are organized well to allow scalability</t>
  </si>
  <si>
    <t xml:space="preserve">Restructure files in a MVC format. </t>
  </si>
  <si>
    <t>MEDIUM: this is not important for the functionality of the website, this user story is simply to improve an existing working system to make the program more scalable and for the code to be easier to understand</t>
  </si>
  <si>
    <t>Mathieu Chistopher</t>
  </si>
  <si>
    <t>April 14th</t>
  </si>
  <si>
    <t>Sprint 1 Backlog</t>
  </si>
  <si>
    <t>Sprint 1 Goal(s):</t>
  </si>
  <si>
    <t>Story ID</t>
  </si>
  <si>
    <t>Task ID</t>
  </si>
  <si>
    <t>Task Title</t>
  </si>
  <si>
    <t>Task Description</t>
  </si>
  <si>
    <t>Ideal Hours</t>
  </si>
  <si>
    <t>Status</t>
  </si>
  <si>
    <t>Comments</t>
  </si>
  <si>
    <t>US-1</t>
  </si>
  <si>
    <t>UT-1.1</t>
  </si>
  <si>
    <t>&lt;create account page&gt;</t>
  </si>
  <si>
    <t>Developed the user account page</t>
  </si>
  <si>
    <t>Completed</t>
  </si>
  <si>
    <t>See github</t>
  </si>
  <si>
    <t xml:space="preserve">UT-1.2 </t>
  </si>
  <si>
    <t>&lt;Create home page&gt;</t>
  </si>
  <si>
    <t>Developed the bear bones of the home page</t>
  </si>
  <si>
    <t>UT-1.3</t>
  </si>
  <si>
    <t>&lt;Create login page&gt;</t>
  </si>
  <si>
    <t>Developed the login page that includes the form of the username and password</t>
  </si>
  <si>
    <t>UT-1.4</t>
  </si>
  <si>
    <t>&lt;create register page&gt;</t>
  </si>
  <si>
    <t>Registration page will include username, password</t>
  </si>
  <si>
    <t>US-2</t>
  </si>
  <si>
    <t>UT-2.1</t>
  </si>
  <si>
    <t>&lt;crerate allergy and preferences&gt;</t>
  </si>
  <si>
    <t>implement UI to allergies and prefences on registration page</t>
  </si>
  <si>
    <t>US-3</t>
  </si>
  <si>
    <t>UT-3.1</t>
  </si>
  <si>
    <t>&lt;Customize log in page/home page/register page&gt;</t>
  </si>
  <si>
    <t>Design the logo, change backgroung size and position. Set header color butter color, hover color and background color.</t>
  </si>
  <si>
    <t>UT-3.2</t>
  </si>
  <si>
    <t>&lt;Customize account page&gt;</t>
  </si>
  <si>
    <t>Implement UI for account page matchinchg colours with the predetermined format</t>
  </si>
  <si>
    <t>UT-3.3</t>
  </si>
  <si>
    <t>&lt;Customize home page&gt;</t>
  </si>
  <si>
    <t>Implement UI for home page matchinchg colours with the predetermined format</t>
  </si>
  <si>
    <t>UT-3.4</t>
  </si>
  <si>
    <t>&lt;Customize log in page&gt;</t>
  </si>
  <si>
    <t>Implement UI for log in page matchinchg colours with the predetermined format</t>
  </si>
  <si>
    <t>completed</t>
  </si>
  <si>
    <t>US-4</t>
  </si>
  <si>
    <t>UT-4.1</t>
  </si>
  <si>
    <t xml:space="preserve">Create database </t>
  </si>
  <si>
    <t>this database should store username, password, diet and allergies. will also assign userID</t>
  </si>
  <si>
    <t>UT-4.2</t>
  </si>
  <si>
    <t>Create a function that receives data from registration and stores it in the database.</t>
  </si>
  <si>
    <t>Once the user presses register, data should be sent to the database to be stored</t>
  </si>
  <si>
    <t>UT-4.3</t>
  </si>
  <si>
    <t>&lt;add authentication during login process&gt;</t>
  </si>
  <si>
    <t>Implement a login function that receives the username, checks if the username is stored in the database, if yes check password and redirect to home page if successful, or tell user the information is incorrect</t>
  </si>
  <si>
    <t>UT-4.4</t>
  </si>
  <si>
    <t>&lt;Ensure unique and valid credentials during registration&gt;</t>
  </si>
  <si>
    <t>during registration, the function should verify if a username already exists, if yes the user should be notified to change it, if no, continue to successful registration process. minimum characters for username and password should be 6</t>
  </si>
  <si>
    <t>Total Hours planned</t>
  </si>
  <si>
    <t>Sprint 1 velocity</t>
  </si>
  <si>
    <t>User Story Title/Task Title</t>
  </si>
  <si>
    <t>Story Points (1,2,3,4,5)</t>
  </si>
  <si>
    <t>Due Date</t>
  </si>
  <si>
    <t>Risk</t>
  </si>
  <si>
    <t>Assignmed Members</t>
  </si>
  <si>
    <t>#1</t>
  </si>
  <si>
    <t>Story 1: 
A user should be able to  register account</t>
  </si>
  <si>
    <t>- create a homepage interface 
 - design and implement a search bar</t>
  </si>
  <si>
    <t>medium</t>
  </si>
  <si>
    <t>Steven, Daniel</t>
  </si>
  <si>
    <t>Story 1
 A user should be able to  login account</t>
  </si>
  <si>
    <t>high</t>
  </si>
  <si>
    <t>Ceyhun, Alex, Ben</t>
  </si>
  <si>
    <t>#2</t>
  </si>
  <si>
    <t>A user can clearly know information from the page and easy to use.</t>
  </si>
  <si>
    <t>Design the logo, Color change on design hover, Added background</t>
  </si>
  <si>
    <t>low</t>
  </si>
  <si>
    <t>yalan</t>
  </si>
  <si>
    <t xml:space="preserve">Story 3:A user can set profit information
</t>
  </si>
  <si>
    <t>- add a "My properties" button in the homepage
 that lead to property listing view page
 - develop an interface for brokers to view their 
 property listing</t>
  </si>
  <si>
    <t>Steven, Daniel, Ben</t>
  </si>
  <si>
    <t>#3</t>
  </si>
  <si>
    <t>- in the My Properties page, add a button and 
 forms for adding new properties and deleting
 existing properties
 - implement backend logic for adding and deleting 
 properties in the database</t>
  </si>
  <si>
    <t>#4</t>
  </si>
  <si>
    <t xml:space="preserve">Story 4:
</t>
  </si>
  <si>
    <t>- create an interface for administrators to add and 
 remove broker profiles in the system
 - develop forms to collect broker profile information
 - implement backend logic to create and remove
 broker profiles in the database</t>
  </si>
  <si>
    <t xml:space="preserve">Steven, Ceyhun </t>
  </si>
  <si>
    <t>Total</t>
  </si>
  <si>
    <t>Sprint 2 Backlog</t>
  </si>
  <si>
    <t>Sprint 2 Goal(s):</t>
  </si>
  <si>
    <t>UT 5.1</t>
  </si>
  <si>
    <t>Develop recipe creation form</t>
  </si>
  <si>
    <t>Develop a dedicated page containing a form that allows users to input recipe information, including title, ingredients, instructions, cost, preparation time, and other relevant attributes.</t>
  </si>
  <si>
    <t>UT 5.2</t>
  </si>
  <si>
    <t>Develop recipe edit form</t>
  </si>
  <si>
    <t>Devolped the recipe editing form, should load selected recipe information into the form and user can make changes</t>
  </si>
  <si>
    <t>UT 5.3</t>
  </si>
  <si>
    <t>Backend for creation form</t>
  </si>
  <si>
    <t>once form is submitted, the data should get saved in the database</t>
  </si>
  <si>
    <t>UT 5.4</t>
  </si>
  <si>
    <t>Backend for edit form</t>
  </si>
  <si>
    <t>once the user clicks edit on the recipe, all the information should be loaded into the form, user can make changes here, once saved it should change the existing recipe details</t>
  </si>
  <si>
    <t>UT 5.5</t>
  </si>
  <si>
    <t>design delete button</t>
  </si>
  <si>
    <t>design delete button which will be located on each recipe card</t>
  </si>
  <si>
    <t>UT 5.6</t>
  </si>
  <si>
    <t>backend for delete button</t>
  </si>
  <si>
    <t>Implement backend API endpoint to support recipe deletion</t>
  </si>
  <si>
    <t>UT 5.7</t>
  </si>
  <si>
    <t>design edit button</t>
  </si>
  <si>
    <t>edit button should bring the user to the edit page. it should be located on the recipe card</t>
  </si>
  <si>
    <t>UT 6.1</t>
  </si>
  <si>
    <t>design  search input bar.</t>
  </si>
  <si>
    <t>design search button on the view recipe page</t>
  </si>
  <si>
    <t xml:space="preserve">0.5.    </t>
  </si>
  <si>
    <t>UT 6.2</t>
  </si>
  <si>
    <t>back end search button</t>
  </si>
  <si>
    <t>Implement backend API endpoint to support meal search functionality</t>
  </si>
  <si>
    <t>UT 7.1</t>
  </si>
  <si>
    <t>design filter form</t>
  </si>
  <si>
    <t>implement a form on the view recipe page that allows users to find recipes by filtering through recipe attributes such as cost, time</t>
  </si>
  <si>
    <t>UT 7.2</t>
  </si>
  <si>
    <t>Back end filter form</t>
  </si>
  <si>
    <t>The form should capture user input, send filter parameters to the backend API, and dynamically display matching recipes without reloading the page.</t>
  </si>
  <si>
    <t>UT 8.1</t>
  </si>
  <si>
    <t>add customization to the registration page</t>
  </si>
  <si>
    <t>UT 9.1</t>
  </si>
  <si>
    <t>load recipes to the  view recipe page</t>
  </si>
  <si>
    <t>Dynamically load recipes from database into view recipe page</t>
  </si>
  <si>
    <t>UT 9.2</t>
  </si>
  <si>
    <t>create view recipe page</t>
  </si>
  <si>
    <t>create view recipe page that enables the user to view all recipes. this page should also contain the edit, delete and filter function</t>
  </si>
  <si>
    <t>US.10</t>
  </si>
  <si>
    <t>UT.10.1</t>
  </si>
  <si>
    <t xml:space="preserve">design dietary tags form </t>
  </si>
  <si>
    <t xml:space="preserve">Add UI components to allow users to select or input dietary tags when creating a recipe </t>
  </si>
  <si>
    <t>UT.10.2</t>
  </si>
  <si>
    <t xml:space="preserve">backend for dietary tags </t>
  </si>
  <si>
    <t>update the data model/schema to support dietary tags for recipes</t>
  </si>
  <si>
    <t>UT.10.3</t>
  </si>
  <si>
    <t>front end for fillter form</t>
  </si>
  <si>
    <t>Improve the filter's front-end code to make the filter collapsible. This makes it clearer for users.</t>
  </si>
  <si>
    <t>US.11</t>
  </si>
  <si>
    <t>UT 11.1</t>
  </si>
  <si>
    <t>frontend weekly meal planner</t>
  </si>
  <si>
    <t xml:space="preserve">Display a weekly grid (Monday–Sunday) with sections for breakfast, lunch, and dinner. Each section should have enough space to display added recipes clearly.
</t>
  </si>
  <si>
    <t>UT 11.2</t>
  </si>
  <si>
    <t>front end interactive function to add recipe</t>
  </si>
  <si>
    <t>When a user saves a recipe to a slot, it’s stored in the database. On page load, all saved meals are retrieved and displayed.</t>
  </si>
  <si>
    <t>UT11.3</t>
  </si>
  <si>
    <t>save recipes in the database</t>
  </si>
  <si>
    <t>when a user adds a recipe to a meal slot, the recipe details should be saved in the database which will be associated with the user_id and recipe_id</t>
  </si>
  <si>
    <t>UT 11.4</t>
  </si>
  <si>
    <t>Duplicate Recipe Check on Add</t>
  </si>
  <si>
    <t>When a user adds a recipe to a day, check if it’s already saved in the weekly planner; if so, notify them and ask for confirmation.</t>
  </si>
  <si>
    <t>UT 11.5</t>
  </si>
  <si>
    <t>fetch weekly meal plan when page is loaded</t>
  </si>
  <si>
    <t>when the page is loaded, the website should load the existing meal plan from the database to the weekly meal plan</t>
  </si>
  <si>
    <t>US. 12</t>
  </si>
  <si>
    <t>UT 12.1</t>
  </si>
  <si>
    <t>Create front end random recipe page</t>
  </si>
  <si>
    <t>When user is creating weekly meal plan, is out of ideas for lunch, he should see a button that guide him to this front end page, that prompts 5 questions then a recipe</t>
  </si>
  <si>
    <t>UT.12.2</t>
  </si>
  <si>
    <t>Generate 5 questions to filter recipes</t>
  </si>
  <si>
    <t>Ask 5 general questions that can thin a list of recipes</t>
  </si>
  <si>
    <t>UT.12.3</t>
  </si>
  <si>
    <t>Link questions to filters</t>
  </si>
  <si>
    <t>If question is spicy or not, filter should identify spicy food, and filter it out, for the 5 questions generated</t>
  </si>
  <si>
    <t>UT 12.4</t>
  </si>
  <si>
    <t>implement random generator function, post filtering</t>
  </si>
  <si>
    <t>After list has been filtered, implement a rand select function that suggests recipe</t>
  </si>
  <si>
    <t>UT 13.1</t>
  </si>
  <si>
    <t>add edit functionality to frontend</t>
  </si>
  <si>
    <t>when a user tries to replace an existing meal with another, the database should take the new recipe and save that one</t>
  </si>
  <si>
    <t>UT 13.2</t>
  </si>
  <si>
    <t>create clear day button</t>
  </si>
  <si>
    <t>button should be located on the meal plan card, should also prompt user to confirm they wish the day to be cleared</t>
  </si>
  <si>
    <t>UT 13.3</t>
  </si>
  <si>
    <t>implement backend for clear day button</t>
  </si>
  <si>
    <t>when the button is pressed, the website should remove the recipe from the weekly meal plan data table</t>
  </si>
  <si>
    <t>UT13.4</t>
  </si>
  <si>
    <t xml:space="preserve">allow users to delete individual meal plan </t>
  </si>
  <si>
    <t>right clicking a meal on the weekly meal planner grid should prompt the user if they are sure they want to delete this mel</t>
  </si>
  <si>
    <t>UT 13.5</t>
  </si>
  <si>
    <t>implement backend for delete function</t>
  </si>
  <si>
    <t>this function should delete the specific meal plan meal from the database</t>
  </si>
  <si>
    <t>UT  14</t>
  </si>
  <si>
    <t>UT14.1</t>
  </si>
  <si>
    <t xml:space="preserve">Coding Standards and rules for CSS
</t>
  </si>
  <si>
    <t xml:space="preserve">write  the rules for CSS using Stylelint. </t>
  </si>
  <si>
    <t>UT14.2</t>
  </si>
  <si>
    <t xml:space="preserve">Coding Standards and rules for JS
</t>
  </si>
  <si>
    <t>the corresponding checking rules for JS using ESLint</t>
  </si>
  <si>
    <t>UT14.3</t>
  </si>
  <si>
    <t> Git hooks for static analysis</t>
  </si>
  <si>
    <t>Let static analysis run locally to check code</t>
  </si>
  <si>
    <t>UT14.4</t>
  </si>
  <si>
    <t xml:space="preserve"> CI for satatic analysis </t>
  </si>
  <si>
    <t>Set up tests to ensure that the code is statically analyzed every time it is updated</t>
  </si>
  <si>
    <t>UT 15</t>
  </si>
  <si>
    <t>UT 15.1</t>
  </si>
  <si>
    <t>Create a skeleton for thebig funtion</t>
  </si>
  <si>
    <t>wrtie the main function logic</t>
  </si>
  <si>
    <t>UT 15.2</t>
  </si>
  <si>
    <t>Add all the items for the recepie generation</t>
  </si>
  <si>
    <t xml:space="preserve">Feed the function a bunch if ingredients tags and steps to be able to generate new recepies </t>
  </si>
  <si>
    <t>UT 16</t>
  </si>
  <si>
    <t>UT 16.1</t>
  </si>
  <si>
    <t>Reorganize all the files in the specified format</t>
  </si>
  <si>
    <t>Create an MVC style file architecture, frontend scripts, CSS, and images should be under the public folder, under source we should have our database code, backend code and html code</t>
  </si>
  <si>
    <t>UT 17</t>
  </si>
  <si>
    <t>UT 17.1</t>
  </si>
  <si>
    <t>Understand the code</t>
  </si>
  <si>
    <t>UT 17..2</t>
  </si>
  <si>
    <t>Verify readability, maintainability and functionality</t>
  </si>
  <si>
    <t>Security check and Error handling</t>
  </si>
  <si>
    <t>Review the current module/component code to understand logic flow and dependencies.Identify sections with poor readability, duplicated logic, or weak structure.</t>
  </si>
  <si>
    <t>Refactor variable names, functions, and file organization to improve maintainability.
Run a static analysis tool and document issues detected.
Fix at least 5 bugs or code quality issues reported by the analysis tool.</t>
  </si>
  <si>
    <t>Check security-sensitive areas such as authentication flow, form validation, and user input handling.
Write/update unit tests for the modified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</si>
</sst>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numFmts>
  <fonts count="40">
    <font>
      <sz val="10"/>
      <color rgb="FF000000"/>
      <name val="Arial"/>
      <scheme val="minor"/>
    </font>
    <font>
      <sz val="10"/>
      <color theme="1"/>
      <name val="Arial"/>
      <scheme val="minor"/>
    </font>
    <font>
      <sz val="11"/>
      <color theme="1"/>
      <name val="Calibri"/>
    </font>
    <font>
      <b/>
      <sz val="20"/>
      <color theme="1"/>
      <name val="Calibri"/>
    </font>
    <font>
      <sz val="13"/>
      <color theme="1"/>
      <name val="Calibri"/>
    </font>
    <font>
      <b/>
      <sz val="14"/>
      <color theme="1"/>
      <name val="Calibri"/>
    </font>
    <font>
      <b/>
      <u/>
      <sz val="16"/>
      <color theme="1"/>
      <name val="Calibri"/>
    </font>
    <font>
      <sz val="11"/>
      <color rgb="FFFFFFFF"/>
      <name val="Calibri"/>
    </font>
    <font>
      <sz val="10"/>
      <color rgb="FFFFFFFF"/>
      <name val="Arial"/>
      <scheme val="minor"/>
    </font>
    <font>
      <sz val="12"/>
      <color theme="1"/>
      <name val="Calibri"/>
    </font>
    <font>
      <b/>
      <sz val="10"/>
      <color theme="1"/>
      <name val="Arial"/>
      <scheme val="minor"/>
    </font>
    <font>
      <b/>
      <sz val="12"/>
      <color rgb="FFFFFFFF"/>
      <name val="Calibri"/>
    </font>
    <font>
      <sz val="10"/>
      <color theme="1"/>
      <name val="Arial"/>
    </font>
    <font>
      <sz val="12"/>
      <color rgb="FF1F2328"/>
      <name val="-Apple-System"/>
      <charset val="1"/>
    </font>
    <font>
      <sz val="12"/>
      <color rgb="FF000000"/>
      <name val="Calibri"/>
      <charset val="1"/>
    </font>
    <font>
      <b/>
      <u/>
      <sz val="16"/>
      <color theme="1"/>
      <name val="Arial"/>
      <family val="2"/>
      <scheme val="minor"/>
    </font>
    <font>
      <b/>
      <sz val="11"/>
      <color theme="1"/>
      <name val="Arial"/>
      <family val="2"/>
      <scheme val="minor"/>
    </font>
    <font>
      <sz val="11"/>
      <color theme="0"/>
      <name val="Arial"/>
      <family val="2"/>
      <scheme val="minor"/>
    </font>
    <font>
      <sz val="11"/>
      <color rgb="FF000000"/>
      <name val="Arial"/>
      <family val="2"/>
      <scheme val="minor"/>
    </font>
    <font>
      <i/>
      <sz val="11"/>
      <color rgb="FF000000"/>
      <name val="Arial"/>
      <family val="2"/>
      <scheme val="minor"/>
    </font>
    <font>
      <sz val="11"/>
      <color rgb="FF000000"/>
      <name val="Aptos Narrow"/>
      <charset val="1"/>
    </font>
    <font>
      <sz val="11"/>
      <color rgb="FF000000"/>
      <name val="Calibri"/>
      <charset val="1"/>
    </font>
    <font>
      <sz val="11"/>
      <color rgb="FF242424"/>
      <name val="Aptos Narrow"/>
      <charset val="1"/>
    </font>
    <font>
      <b/>
      <sz val="9"/>
      <color indexed="81"/>
      <name val="Tahoma"/>
      <family val="2"/>
    </font>
    <font>
      <sz val="9"/>
      <color indexed="81"/>
      <name val="Tahoma"/>
      <family val="2"/>
    </font>
    <font>
      <sz val="12"/>
      <color rgb="FF000000"/>
      <name val="Calibri"/>
    </font>
    <font>
      <sz val="14"/>
      <color theme="1"/>
      <name val="Calibri"/>
      <family val="2"/>
    </font>
    <font>
      <sz val="11"/>
      <color rgb="FF000000"/>
      <name val="Aptos Narrow"/>
      <family val="2"/>
    </font>
    <font>
      <sz val="12"/>
      <color theme="1"/>
      <name val="Calibri"/>
      <family val="2"/>
    </font>
    <font>
      <sz val="11"/>
      <color rgb="FFFFFFFF"/>
      <name val="Calibri"/>
      <family val="2"/>
    </font>
    <font>
      <sz val="11"/>
      <color rgb="FF000000"/>
      <name val="Aptos Narrow"/>
    </font>
    <font>
      <sz val="12"/>
      <color rgb="FF000000"/>
      <name val="Calibri"/>
      <family val="2"/>
    </font>
    <font>
      <sz val="10"/>
      <color rgb="FF000000"/>
      <name val="Calibri"/>
    </font>
    <font>
      <i/>
      <sz val="10"/>
      <color rgb="FF000000"/>
      <name val="Calibri"/>
    </font>
    <font>
      <sz val="10"/>
      <color rgb="FF242424"/>
      <name val="Calibri"/>
    </font>
    <font>
      <b/>
      <sz val="10"/>
      <color rgb="FF000000"/>
      <name val="Calibri"/>
    </font>
    <font>
      <sz val="10"/>
      <color theme="0"/>
      <name val="Calibri"/>
    </font>
    <font>
      <sz val="12"/>
      <color rgb="FFFFFFFF"/>
      <name val="Calibri"/>
    </font>
    <font>
      <sz val="10"/>
      <color theme="1"/>
      <name val="Calibri"/>
    </font>
    <font>
      <sz val="10"/>
      <color rgb="FF000000"/>
      <name val="Calibri"/>
      <family val="2"/>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6D9EEB"/>
        <bgColor rgb="FF6D9EEB"/>
      </patternFill>
    </fill>
    <fill>
      <patternFill patternType="solid">
        <fgColor theme="1"/>
        <bgColor indexed="64"/>
      </patternFill>
    </fill>
  </fills>
  <borders count="16">
    <border>
      <left/>
      <right/>
      <top/>
      <bottom/>
      <diagonal/>
    </border>
    <border>
      <left/>
      <right style="thin">
        <color rgb="FFFFFFFF"/>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indexed="64"/>
      </top>
      <bottom/>
      <diagonal/>
    </border>
  </borders>
  <cellStyleXfs count="1">
    <xf numFmtId="0" fontId="0" fillId="0" borderId="0"/>
  </cellStyleXfs>
  <cellXfs count="12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vertical="top"/>
    </xf>
    <xf numFmtId="0" fontId="8" fillId="3" borderId="0" xfId="0" applyFont="1" applyFill="1"/>
    <xf numFmtId="0" fontId="1" fillId="3" borderId="0" xfId="0" applyFont="1" applyFill="1"/>
    <xf numFmtId="0" fontId="9" fillId="0" borderId="4" xfId="0" applyFont="1" applyBorder="1" applyAlignment="1">
      <alignment horizontal="center" vertical="center" wrapText="1"/>
    </xf>
    <xf numFmtId="0" fontId="9" fillId="0" borderId="0" xfId="0" applyFont="1"/>
    <xf numFmtId="0" fontId="9" fillId="3" borderId="0" xfId="0" applyFont="1" applyFill="1"/>
    <xf numFmtId="0" fontId="10" fillId="0" borderId="0" xfId="0" applyFont="1" applyAlignment="1">
      <alignment horizontal="right"/>
    </xf>
    <xf numFmtId="0" fontId="10" fillId="0" borderId="0" xfId="0" applyFont="1" applyAlignment="1">
      <alignment horizontal="center"/>
    </xf>
    <xf numFmtId="0" fontId="11" fillId="4" borderId="6" xfId="0" applyFont="1" applyFill="1" applyBorder="1"/>
    <xf numFmtId="0" fontId="12" fillId="0" borderId="7" xfId="0" applyFont="1" applyBorder="1"/>
    <xf numFmtId="0" fontId="12" fillId="0" borderId="2" xfId="0" applyFont="1" applyBorder="1"/>
    <xf numFmtId="0" fontId="12" fillId="0" borderId="2" xfId="0" applyFont="1" applyBorder="1" applyAlignment="1">
      <alignment horizontal="right"/>
    </xf>
    <xf numFmtId="164" fontId="12" fillId="0" borderId="2" xfId="0" applyNumberFormat="1" applyFont="1" applyBorder="1" applyAlignment="1">
      <alignment horizontal="right"/>
    </xf>
    <xf numFmtId="0" fontId="10" fillId="0" borderId="0" xfId="0" applyFont="1"/>
    <xf numFmtId="0" fontId="13" fillId="0" borderId="0" xfId="0" applyFont="1" applyAlignment="1">
      <alignment horizontal="center"/>
    </xf>
    <xf numFmtId="0" fontId="14" fillId="0" borderId="0" xfId="0" applyFont="1"/>
    <xf numFmtId="0" fontId="17" fillId="5" borderId="0" xfId="0" applyFont="1" applyFill="1" applyAlignment="1">
      <alignment horizontal="center" vertical="center"/>
    </xf>
    <xf numFmtId="0" fontId="17" fillId="5" borderId="0" xfId="0" applyFont="1" applyFill="1" applyAlignment="1">
      <alignment vertical="center" wrapText="1"/>
    </xf>
    <xf numFmtId="0" fontId="18" fillId="0" borderId="8" xfId="0" applyFont="1" applyBorder="1"/>
    <xf numFmtId="0" fontId="19" fillId="0" borderId="8" xfId="0" applyFont="1" applyBorder="1" applyAlignment="1">
      <alignment wrapText="1"/>
    </xf>
    <xf numFmtId="0" fontId="19" fillId="0" borderId="8" xfId="0" applyFont="1" applyBorder="1"/>
    <xf numFmtId="0" fontId="18" fillId="0" borderId="8" xfId="0" applyFont="1" applyBorder="1" applyAlignment="1">
      <alignment wrapText="1"/>
    </xf>
    <xf numFmtId="0" fontId="20" fillId="0" borderId="8" xfId="0" applyFont="1" applyBorder="1" applyAlignment="1">
      <alignment wrapText="1"/>
    </xf>
    <xf numFmtId="0" fontId="0" fillId="0" borderId="0" xfId="0" applyAlignment="1">
      <alignment wrapText="1"/>
    </xf>
    <xf numFmtId="0" fontId="0" fillId="0" borderId="0" xfId="0" applyAlignment="1">
      <alignment horizontal="center" vertical="center"/>
    </xf>
    <xf numFmtId="0" fontId="22" fillId="0" borderId="0" xfId="0" applyFont="1"/>
    <xf numFmtId="0" fontId="12" fillId="0" borderId="2" xfId="0" applyFont="1" applyBorder="1" applyAlignment="1">
      <alignment wrapText="1"/>
    </xf>
    <xf numFmtId="0" fontId="26" fillId="0" borderId="0" xfId="0" applyFont="1" applyAlignment="1">
      <alignment horizontal="center" wrapText="1"/>
    </xf>
    <xf numFmtId="0" fontId="30" fillId="0" borderId="8" xfId="0" applyFont="1" applyBorder="1" applyAlignment="1">
      <alignment wrapText="1"/>
    </xf>
    <xf numFmtId="0" fontId="25" fillId="0" borderId="8" xfId="0" applyFont="1" applyBorder="1" applyAlignment="1">
      <alignment vertical="center" wrapText="1"/>
    </xf>
    <xf numFmtId="0" fontId="9" fillId="0" borderId="8" xfId="0" applyFont="1" applyBorder="1" applyAlignment="1">
      <alignment horizontal="center" vertical="center" wrapText="1"/>
    </xf>
    <xf numFmtId="0" fontId="7" fillId="2" borderId="8" xfId="0" applyFont="1" applyFill="1" applyBorder="1" applyAlignment="1">
      <alignment horizontal="left" wrapText="1"/>
    </xf>
    <xf numFmtId="0" fontId="29" fillId="2" borderId="8" xfId="0" applyFont="1" applyFill="1" applyBorder="1" applyAlignment="1">
      <alignment horizontal="left" wrapText="1"/>
    </xf>
    <xf numFmtId="0" fontId="8" fillId="2" borderId="8" xfId="0" applyFont="1" applyFill="1" applyBorder="1"/>
    <xf numFmtId="0" fontId="9" fillId="0" borderId="8" xfId="0" applyFont="1" applyBorder="1" applyAlignment="1">
      <alignment horizontal="left" vertical="top" wrapText="1"/>
    </xf>
    <xf numFmtId="0" fontId="28" fillId="0" borderId="8" xfId="0" applyFont="1" applyBorder="1" applyAlignment="1">
      <alignment horizontal="center" vertical="center" wrapText="1"/>
    </xf>
    <xf numFmtId="0" fontId="28" fillId="0" borderId="8" xfId="0" applyFont="1" applyBorder="1" applyAlignment="1">
      <alignment horizontal="left" vertical="center" wrapText="1"/>
    </xf>
    <xf numFmtId="164" fontId="9" fillId="0" borderId="8" xfId="0" applyNumberFormat="1" applyFont="1" applyBorder="1" applyAlignment="1">
      <alignment horizontal="center" vertical="center" wrapText="1"/>
    </xf>
    <xf numFmtId="0" fontId="9" fillId="0" borderId="8" xfId="0" applyFont="1" applyBorder="1" applyAlignment="1">
      <alignment horizontal="left" vertical="center" wrapText="1"/>
    </xf>
    <xf numFmtId="0" fontId="31" fillId="0" borderId="8" xfId="0" applyFont="1" applyBorder="1" applyAlignment="1">
      <alignment horizontal="center" vertical="center" wrapText="1"/>
    </xf>
    <xf numFmtId="0" fontId="22" fillId="0" borderId="0" xfId="0" applyFont="1" applyAlignment="1">
      <alignment wrapText="1"/>
    </xf>
    <xf numFmtId="0" fontId="25" fillId="0" borderId="4" xfId="0" applyFont="1" applyBorder="1" applyAlignment="1">
      <alignment horizontal="center" vertical="center" wrapText="1"/>
    </xf>
    <xf numFmtId="0" fontId="25" fillId="0" borderId="4" xfId="0" applyFont="1" applyBorder="1" applyAlignment="1">
      <alignment horizontal="center" wrapText="1"/>
    </xf>
    <xf numFmtId="0" fontId="32" fillId="0" borderId="4" xfId="0" applyFont="1" applyBorder="1" applyAlignment="1">
      <alignment horizontal="center" wrapText="1"/>
    </xf>
    <xf numFmtId="0" fontId="36" fillId="5" borderId="0" xfId="0" applyFont="1" applyFill="1" applyAlignment="1">
      <alignment horizontal="center" vertical="center"/>
    </xf>
    <xf numFmtId="0" fontId="36" fillId="5" borderId="0" xfId="0" applyFont="1" applyFill="1" applyAlignment="1">
      <alignment vertical="center" wrapText="1"/>
    </xf>
    <xf numFmtId="0" fontId="34" fillId="0" borderId="4" xfId="0" applyFont="1" applyBorder="1" applyAlignment="1">
      <alignment horizontal="center" wrapText="1"/>
    </xf>
    <xf numFmtId="0" fontId="32" fillId="0" borderId="0" xfId="0" applyFont="1" applyAlignment="1">
      <alignment horizontal="center" wrapText="1"/>
    </xf>
    <xf numFmtId="0" fontId="37" fillId="2" borderId="1" xfId="0" applyFont="1" applyFill="1" applyBorder="1" applyAlignment="1">
      <alignment horizontal="center" wrapText="1"/>
    </xf>
    <xf numFmtId="164" fontId="9" fillId="0" borderId="4" xfId="0" applyNumberFormat="1" applyFont="1" applyBorder="1" applyAlignment="1">
      <alignment horizontal="center" vertical="center" wrapText="1"/>
    </xf>
    <xf numFmtId="0" fontId="37" fillId="2" borderId="0" xfId="0" applyFont="1" applyFill="1" applyAlignment="1">
      <alignment horizontal="center" wrapText="1"/>
    </xf>
    <xf numFmtId="0" fontId="32" fillId="0" borderId="8" xfId="0" applyFont="1" applyBorder="1" applyAlignment="1">
      <alignment horizontal="center" wrapText="1"/>
    </xf>
    <xf numFmtId="0" fontId="32" fillId="0" borderId="11" xfId="0" applyFont="1" applyBorder="1" applyAlignment="1">
      <alignment horizontal="center" wrapText="1"/>
    </xf>
    <xf numFmtId="0" fontId="32" fillId="0" borderId="3" xfId="0" applyFont="1" applyBorder="1" applyAlignment="1">
      <alignment horizontal="center" wrapText="1"/>
    </xf>
    <xf numFmtId="0" fontId="32" fillId="0" borderId="14" xfId="0" applyFont="1" applyBorder="1" applyAlignment="1">
      <alignment horizontal="center" wrapText="1"/>
    </xf>
    <xf numFmtId="0" fontId="35" fillId="0" borderId="4" xfId="0" applyFont="1" applyBorder="1" applyAlignment="1">
      <alignment horizontal="center" wrapText="1"/>
    </xf>
    <xf numFmtId="0" fontId="32" fillId="0" borderId="6" xfId="0" applyFont="1" applyBorder="1" applyAlignment="1">
      <alignment horizontal="center" wrapText="1"/>
    </xf>
    <xf numFmtId="0" fontId="35" fillId="0" borderId="3" xfId="0" applyFont="1" applyBorder="1" applyAlignment="1">
      <alignment horizontal="center" wrapText="1"/>
    </xf>
    <xf numFmtId="0" fontId="33" fillId="0" borderId="4" xfId="0" applyFont="1" applyBorder="1" applyAlignment="1">
      <alignment horizontal="center" wrapText="1"/>
    </xf>
    <xf numFmtId="0" fontId="32" fillId="0" borderId="7" xfId="0" applyFont="1" applyBorder="1" applyAlignment="1">
      <alignment horizontal="center" wrapText="1"/>
    </xf>
    <xf numFmtId="0" fontId="32" fillId="0" borderId="13" xfId="0" applyFont="1" applyBorder="1" applyAlignment="1">
      <alignment horizontal="center" wrapText="1"/>
    </xf>
    <xf numFmtId="0" fontId="32" fillId="0" borderId="5" xfId="0" applyFont="1" applyBorder="1" applyAlignment="1">
      <alignment horizontal="center" wrapText="1"/>
    </xf>
    <xf numFmtId="16" fontId="33" fillId="0" borderId="4" xfId="0" applyNumberFormat="1" applyFont="1" applyBorder="1" applyAlignment="1">
      <alignment horizontal="center" wrapText="1"/>
    </xf>
    <xf numFmtId="0" fontId="32" fillId="0" borderId="12" xfId="0" applyFont="1" applyBorder="1" applyAlignment="1">
      <alignment horizontal="center" wrapText="1"/>
    </xf>
    <xf numFmtId="0" fontId="32" fillId="0" borderId="9" xfId="0" applyFont="1" applyBorder="1" applyAlignment="1">
      <alignment horizontal="center" wrapText="1"/>
    </xf>
    <xf numFmtId="0" fontId="33" fillId="0" borderId="4" xfId="0" applyFont="1" applyBorder="1" applyAlignment="1">
      <alignment horizontal="center" vertical="top" wrapText="1"/>
    </xf>
    <xf numFmtId="0" fontId="0" fillId="0" borderId="4" xfId="0" applyBorder="1" applyAlignment="1">
      <alignment horizontal="center" wrapText="1"/>
    </xf>
    <xf numFmtId="0" fontId="0" fillId="0" borderId="5" xfId="0" applyBorder="1" applyAlignment="1">
      <alignment horizontal="center" wrapText="1"/>
    </xf>
    <xf numFmtId="0" fontId="37" fillId="2" borderId="0" xfId="0" applyFont="1" applyFill="1" applyAlignment="1">
      <alignment vertical="center"/>
    </xf>
    <xf numFmtId="0" fontId="33" fillId="0" borderId="7" xfId="0" applyFont="1" applyBorder="1" applyAlignment="1">
      <alignment horizontal="center" wrapText="1"/>
    </xf>
    <xf numFmtId="0" fontId="32" fillId="0" borderId="2" xfId="0" applyFont="1" applyBorder="1" applyAlignment="1">
      <alignment horizontal="center" wrapText="1"/>
    </xf>
    <xf numFmtId="0" fontId="32" fillId="0" borderId="8" xfId="0" applyFont="1" applyBorder="1" applyAlignment="1">
      <alignment horizontal="center" vertical="center"/>
    </xf>
    <xf numFmtId="0" fontId="32" fillId="0" borderId="8" xfId="0" applyFont="1" applyBorder="1" applyAlignment="1">
      <alignment horizontal="center" vertical="center" wrapText="1"/>
    </xf>
    <xf numFmtId="0" fontId="32" fillId="0" borderId="0" xfId="0" applyFont="1"/>
    <xf numFmtId="0" fontId="32" fillId="0" borderId="10" xfId="0" applyFont="1" applyBorder="1"/>
    <xf numFmtId="0" fontId="32" fillId="0" borderId="8" xfId="0" applyFont="1" applyBorder="1"/>
    <xf numFmtId="0" fontId="32" fillId="0" borderId="0" xfId="0" applyFont="1" applyAlignment="1">
      <alignment wrapText="1"/>
    </xf>
    <xf numFmtId="0" fontId="32" fillId="0" borderId="8" xfId="0" applyFont="1" applyBorder="1" applyAlignment="1">
      <alignment wrapText="1"/>
    </xf>
    <xf numFmtId="0" fontId="32" fillId="0" borderId="6"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3" xfId="0" applyFont="1" applyBorder="1" applyAlignment="1">
      <alignment horizontal="center" vertical="center" wrapText="1"/>
    </xf>
    <xf numFmtId="0" fontId="38" fillId="0" borderId="4" xfId="0" applyFont="1" applyBorder="1" applyAlignment="1">
      <alignment horizontal="center" vertical="center" wrapText="1"/>
    </xf>
    <xf numFmtId="0" fontId="32" fillId="0" borderId="4" xfId="0" applyFont="1" applyBorder="1" applyAlignment="1">
      <alignment vertical="center" wrapText="1"/>
    </xf>
    <xf numFmtId="0" fontId="38" fillId="0" borderId="4" xfId="0" applyFont="1" applyBorder="1" applyAlignment="1">
      <alignment vertical="center" wrapText="1"/>
    </xf>
    <xf numFmtId="0" fontId="32" fillId="0" borderId="4" xfId="0" applyFont="1" applyBorder="1" applyAlignment="1">
      <alignment wrapText="1"/>
    </xf>
    <xf numFmtId="164" fontId="38" fillId="0" borderId="4" xfId="0" applyNumberFormat="1" applyFont="1" applyBorder="1" applyAlignment="1">
      <alignment vertical="center" wrapText="1"/>
    </xf>
    <xf numFmtId="0" fontId="38" fillId="0" borderId="3" xfId="0" applyFont="1" applyBorder="1" applyAlignment="1">
      <alignment vertical="center" wrapText="1"/>
    </xf>
    <xf numFmtId="0" fontId="32" fillId="0" borderId="3" xfId="0" applyFont="1" applyBorder="1" applyAlignment="1">
      <alignment wrapText="1"/>
    </xf>
    <xf numFmtId="0" fontId="32" fillId="0" borderId="3" xfId="0" applyFont="1" applyBorder="1" applyAlignment="1">
      <alignment vertical="center" wrapText="1"/>
    </xf>
    <xf numFmtId="164" fontId="38" fillId="0" borderId="3" xfId="0" applyNumberFormat="1" applyFont="1" applyBorder="1" applyAlignment="1">
      <alignment vertical="center" wrapText="1"/>
    </xf>
    <xf numFmtId="0" fontId="32" fillId="0" borderId="3" xfId="0" applyFont="1" applyBorder="1" applyAlignment="1">
      <alignment horizontal="center" vertical="center" wrapText="1" readingOrder="1"/>
    </xf>
    <xf numFmtId="0" fontId="32" fillId="0" borderId="4" xfId="0" applyFont="1" applyBorder="1" applyAlignment="1">
      <alignment horizontal="center" vertical="center" wrapText="1" readingOrder="1"/>
    </xf>
    <xf numFmtId="16" fontId="32" fillId="0" borderId="4" xfId="0" applyNumberFormat="1" applyFont="1" applyBorder="1" applyAlignment="1">
      <alignment wrapText="1"/>
    </xf>
    <xf numFmtId="0" fontId="32" fillId="0" borderId="0" xfId="0" applyFont="1" applyAlignment="1">
      <alignment vertical="center" wrapText="1"/>
    </xf>
    <xf numFmtId="0" fontId="27" fillId="0" borderId="8" xfId="0" applyFont="1" applyBorder="1"/>
    <xf numFmtId="0" fontId="21" fillId="0" borderId="8" xfId="0" applyFont="1" applyBorder="1" applyAlignment="1">
      <alignment wrapText="1"/>
    </xf>
    <xf numFmtId="0" fontId="19" fillId="0" borderId="8" xfId="0" applyFont="1" applyBorder="1" applyAlignment="1">
      <alignment vertical="top" wrapText="1"/>
    </xf>
    <xf numFmtId="0" fontId="0" fillId="0" borderId="8" xfId="0" applyBorder="1"/>
    <xf numFmtId="0" fontId="22" fillId="0" borderId="8" xfId="0" applyFont="1" applyBorder="1" applyAlignment="1">
      <alignment wrapText="1"/>
    </xf>
    <xf numFmtId="0" fontId="22" fillId="0" borderId="8" xfId="0" applyFont="1" applyBorder="1" applyAlignment="1">
      <alignment horizontal="center" wrapText="1"/>
    </xf>
    <xf numFmtId="0" fontId="0" fillId="0" borderId="8" xfId="0" applyBorder="1" applyAlignment="1">
      <alignment wrapText="1"/>
    </xf>
    <xf numFmtId="0" fontId="32" fillId="0" borderId="3" xfId="0" applyFont="1" applyBorder="1" applyAlignment="1">
      <alignment horizontal="center" wrapText="1"/>
    </xf>
    <xf numFmtId="0" fontId="32" fillId="0" borderId="7" xfId="0" applyFont="1" applyBorder="1" applyAlignment="1">
      <alignment horizontal="center" wrapText="1"/>
    </xf>
    <xf numFmtId="0" fontId="15" fillId="0" borderId="0" xfId="0" applyFont="1" applyAlignment="1">
      <alignment horizontal="center"/>
    </xf>
    <xf numFmtId="0" fontId="0" fillId="0" borderId="0" xfId="0" applyAlignment="1">
      <alignment horizontal="center"/>
    </xf>
    <xf numFmtId="0" fontId="16" fillId="0" borderId="0" xfId="0" applyFont="1" applyAlignment="1">
      <alignment horizontal="center" wrapText="1"/>
    </xf>
    <xf numFmtId="0" fontId="16" fillId="0" borderId="0" xfId="0" applyFont="1" applyAlignment="1">
      <alignment horizontal="center" vertical="center" wrapText="1"/>
    </xf>
    <xf numFmtId="0" fontId="32" fillId="0" borderId="3" xfId="0" applyFont="1" applyBorder="1" applyAlignment="1">
      <alignment horizontal="center"/>
    </xf>
    <xf numFmtId="0" fontId="32" fillId="0" borderId="7" xfId="0" applyFont="1" applyBorder="1" applyAlignment="1">
      <alignment horizontal="center"/>
    </xf>
    <xf numFmtId="0" fontId="33" fillId="0" borderId="15" xfId="0" applyFont="1" applyBorder="1" applyAlignment="1">
      <alignment horizontal="center" wrapText="1"/>
    </xf>
    <xf numFmtId="0" fontId="33" fillId="0" borderId="7" xfId="0" applyFont="1" applyBorder="1" applyAlignment="1">
      <alignment horizontal="center" wrapText="1"/>
    </xf>
    <xf numFmtId="0" fontId="33" fillId="0" borderId="3" xfId="0" applyFont="1" applyBorder="1" applyAlignment="1">
      <alignment horizontal="center" wrapText="1"/>
    </xf>
    <xf numFmtId="0" fontId="37" fillId="2" borderId="0" xfId="0" applyFont="1" applyFill="1" applyAlignment="1">
      <alignment horizontal="center" wrapText="1"/>
    </xf>
    <xf numFmtId="0" fontId="37" fillId="2" borderId="0" xfId="0" applyFont="1" applyFill="1" applyAlignment="1">
      <alignment horizontal="center"/>
    </xf>
    <xf numFmtId="0" fontId="37" fillId="2" borderId="0" xfId="0" applyFont="1" applyFill="1" applyAlignment="1">
      <alignment horizontal="center" vertical="center"/>
    </xf>
    <xf numFmtId="0" fontId="25" fillId="0" borderId="4" xfId="0" applyFont="1" applyBorder="1" applyAlignment="1">
      <alignment horizontal="center" wrapText="1"/>
    </xf>
    <xf numFmtId="0" fontId="25" fillId="0" borderId="4" xfId="0" applyFont="1" applyBorder="1" applyAlignment="1">
      <alignment horizontal="center" vertical="center" wrapText="1"/>
    </xf>
    <xf numFmtId="16" fontId="25" fillId="0" borderId="4" xfId="0" applyNumberFormat="1" applyFont="1" applyBorder="1" applyAlignment="1">
      <alignment horizontal="center" wrapText="1"/>
    </xf>
    <xf numFmtId="0" fontId="19" fillId="0" borderId="8" xfId="0" applyFont="1" applyBorder="1" applyAlignment="1">
      <alignment horizontal="center"/>
    </xf>
    <xf numFmtId="0" fontId="3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7"/>
  <sheetViews>
    <sheetView topLeftCell="A6" workbookViewId="0">
      <selection activeCell="C10" sqref="C10"/>
    </sheetView>
  </sheetViews>
  <sheetFormatPr defaultColWidth="12.5703125" defaultRowHeight="15.75" customHeight="1"/>
  <cols>
    <col min="3" max="3" width="63" customWidth="1"/>
  </cols>
  <sheetData>
    <row r="1" spans="2:4" ht="12.75">
      <c r="B1" s="1"/>
      <c r="C1" s="1"/>
      <c r="D1" s="1"/>
    </row>
    <row r="2" spans="2:4" ht="15">
      <c r="B2" s="1"/>
      <c r="C2" s="2"/>
      <c r="D2" s="1"/>
    </row>
    <row r="3" spans="2:4" ht="15">
      <c r="B3" s="1"/>
      <c r="C3" s="2"/>
      <c r="D3" s="1"/>
    </row>
    <row r="4" spans="2:4" ht="26.25">
      <c r="B4" s="1"/>
      <c r="C4" s="3" t="s">
        <v>0</v>
      </c>
      <c r="D4" s="1"/>
    </row>
    <row r="5" spans="2:4" ht="15">
      <c r="B5" s="1"/>
      <c r="C5" s="2"/>
      <c r="D5" s="1"/>
    </row>
    <row r="6" spans="2:4" ht="15">
      <c r="B6" s="1"/>
      <c r="C6" s="2"/>
      <c r="D6" s="1"/>
    </row>
    <row r="7" spans="2:4" ht="17.25">
      <c r="B7" s="1"/>
      <c r="C7" s="4" t="s">
        <v>1</v>
      </c>
      <c r="D7" s="1"/>
    </row>
    <row r="8" spans="2:4" ht="15">
      <c r="B8" s="1"/>
      <c r="C8" s="5"/>
      <c r="D8" s="1"/>
    </row>
    <row r="9" spans="2:4" ht="18.75">
      <c r="B9" s="1"/>
      <c r="C9" s="6" t="s">
        <v>2</v>
      </c>
      <c r="D9" s="1"/>
    </row>
    <row r="10" spans="2:4" ht="15">
      <c r="B10" s="1"/>
      <c r="C10" s="21" t="s">
        <v>3</v>
      </c>
      <c r="D10" s="1"/>
    </row>
    <row r="11" spans="2:4" ht="15">
      <c r="B11" s="1"/>
      <c r="C11" s="21" t="s">
        <v>4</v>
      </c>
      <c r="D11" s="1"/>
    </row>
    <row r="12" spans="2:4" ht="15">
      <c r="B12" s="1"/>
      <c r="C12" s="21" t="s">
        <v>5</v>
      </c>
      <c r="D12" s="1"/>
    </row>
    <row r="13" spans="2:4" ht="15">
      <c r="B13" s="1"/>
      <c r="C13" s="21" t="s">
        <v>6</v>
      </c>
      <c r="D13" s="1"/>
    </row>
    <row r="14" spans="2:4" ht="18.75">
      <c r="B14" s="1"/>
      <c r="C14" s="34" t="s">
        <v>7</v>
      </c>
      <c r="D14" s="1"/>
    </row>
    <row r="15" spans="2:4" ht="15">
      <c r="B15" s="1"/>
      <c r="C15" s="2"/>
      <c r="D15" s="1"/>
    </row>
    <row r="16" spans="2:4" ht="15">
      <c r="B16" s="1"/>
      <c r="C16" s="2"/>
      <c r="D16" s="1"/>
    </row>
    <row r="17" spans="2:4" ht="15">
      <c r="B17" s="1"/>
      <c r="C17" s="2"/>
      <c r="D17" s="1"/>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38"/>
  <sheetViews>
    <sheetView topLeftCell="G1" zoomScale="60" zoomScaleNormal="100" workbookViewId="0">
      <selection activeCell="F34" sqref="F34"/>
    </sheetView>
  </sheetViews>
  <sheetFormatPr defaultColWidth="12.5703125" defaultRowHeight="15.75" customHeight="1"/>
  <cols>
    <col min="1" max="1" width="10.28515625" customWidth="1"/>
    <col min="2" max="2" width="12.5703125" customWidth="1"/>
    <col min="3" max="5" width="35.42578125" customWidth="1"/>
    <col min="6" max="6" width="51.28515625" customWidth="1"/>
    <col min="7" max="7" width="21.42578125" customWidth="1"/>
    <col min="8" max="8" width="10.140625" customWidth="1"/>
    <col min="9" max="9" width="29.28515625" customWidth="1"/>
    <col min="10" max="10" width="13.42578125" customWidth="1"/>
  </cols>
  <sheetData>
    <row r="1" spans="1:18" ht="21">
      <c r="A1" s="7"/>
      <c r="B1" s="7"/>
      <c r="C1" s="7"/>
      <c r="D1" s="7"/>
      <c r="E1" s="7"/>
      <c r="F1" s="7"/>
      <c r="G1" s="7"/>
      <c r="H1" s="7"/>
      <c r="I1" s="7"/>
    </row>
    <row r="2" spans="1:18" ht="30">
      <c r="A2" s="38" t="s">
        <v>8</v>
      </c>
      <c r="B2" s="38" t="s">
        <v>9</v>
      </c>
      <c r="C2" s="38" t="s">
        <v>10</v>
      </c>
      <c r="D2" s="38" t="s">
        <v>11</v>
      </c>
      <c r="E2" s="39" t="s">
        <v>12</v>
      </c>
      <c r="F2" s="38" t="s">
        <v>13</v>
      </c>
      <c r="G2" s="38" t="s">
        <v>14</v>
      </c>
      <c r="H2" s="38" t="s">
        <v>15</v>
      </c>
      <c r="I2" s="40" t="s">
        <v>16</v>
      </c>
      <c r="J2" s="40" t="s">
        <v>17</v>
      </c>
      <c r="K2" s="38" t="s">
        <v>18</v>
      </c>
      <c r="M2" s="8"/>
      <c r="N2" s="8"/>
      <c r="O2" s="8"/>
      <c r="P2" s="8"/>
      <c r="Q2" s="8"/>
      <c r="R2" s="9"/>
    </row>
    <row r="3" spans="1:18" ht="99.75" customHeight="1">
      <c r="A3" s="41" t="s">
        <v>19</v>
      </c>
      <c r="B3" s="41" t="s">
        <v>20</v>
      </c>
      <c r="C3" s="37" t="s">
        <v>21</v>
      </c>
      <c r="D3" s="37">
        <v>5</v>
      </c>
      <c r="E3" s="42" t="s">
        <v>22</v>
      </c>
      <c r="F3" s="43" t="s">
        <v>23</v>
      </c>
      <c r="G3" s="37">
        <v>1</v>
      </c>
      <c r="H3" s="37" t="s">
        <v>24</v>
      </c>
      <c r="I3" s="37" t="s">
        <v>25</v>
      </c>
      <c r="J3" s="37" t="s">
        <v>26</v>
      </c>
      <c r="K3" s="44" t="s">
        <v>27</v>
      </c>
      <c r="L3" s="11" t="s">
        <v>28</v>
      </c>
      <c r="M3" s="12"/>
      <c r="N3" s="9"/>
      <c r="O3" s="9"/>
      <c r="P3" s="9"/>
      <c r="Q3" s="9"/>
      <c r="R3" s="9"/>
    </row>
    <row r="4" spans="1:18" ht="73.5" customHeight="1">
      <c r="A4" s="41" t="s">
        <v>29</v>
      </c>
      <c r="B4" s="41" t="s">
        <v>30</v>
      </c>
      <c r="C4" s="37" t="s">
        <v>31</v>
      </c>
      <c r="D4" s="37">
        <v>5</v>
      </c>
      <c r="E4" s="37" t="s">
        <v>32</v>
      </c>
      <c r="F4" s="45" t="s">
        <v>33</v>
      </c>
      <c r="G4" s="37">
        <v>2</v>
      </c>
      <c r="H4" s="37" t="s">
        <v>34</v>
      </c>
      <c r="I4" s="37" t="s">
        <v>35</v>
      </c>
      <c r="J4" s="37" t="s">
        <v>36</v>
      </c>
      <c r="K4" s="44" t="s">
        <v>37</v>
      </c>
      <c r="L4" s="11"/>
      <c r="M4" s="11"/>
    </row>
    <row r="5" spans="1:18" ht="105.75" customHeight="1">
      <c r="A5" s="41" t="s">
        <v>38</v>
      </c>
      <c r="B5" s="41" t="s">
        <v>39</v>
      </c>
      <c r="C5" s="37" t="s">
        <v>40</v>
      </c>
      <c r="D5" s="37">
        <v>4</v>
      </c>
      <c r="E5" s="37" t="s">
        <v>41</v>
      </c>
      <c r="F5" s="46" t="s">
        <v>42</v>
      </c>
      <c r="G5" s="37">
        <v>3</v>
      </c>
      <c r="H5" s="37" t="s">
        <v>43</v>
      </c>
      <c r="I5" s="37" t="s">
        <v>44</v>
      </c>
      <c r="J5" s="37" t="s">
        <v>45</v>
      </c>
      <c r="K5" s="44" t="s">
        <v>46</v>
      </c>
      <c r="L5" s="11" t="s">
        <v>47</v>
      </c>
      <c r="M5" s="11"/>
      <c r="N5">
        <v>21</v>
      </c>
    </row>
    <row r="6" spans="1:18" ht="74.25" customHeight="1">
      <c r="A6" s="45" t="s">
        <v>48</v>
      </c>
      <c r="B6" s="45" t="s">
        <v>39</v>
      </c>
      <c r="C6" s="37" t="s">
        <v>49</v>
      </c>
      <c r="D6" s="37">
        <v>7</v>
      </c>
      <c r="E6" s="36" t="s">
        <v>50</v>
      </c>
      <c r="F6" s="37" t="s">
        <v>51</v>
      </c>
      <c r="G6" s="37">
        <v>4</v>
      </c>
      <c r="H6" s="37" t="s">
        <v>24</v>
      </c>
      <c r="I6" s="37" t="s">
        <v>52</v>
      </c>
      <c r="J6" s="37" t="s">
        <v>53</v>
      </c>
      <c r="K6" s="44" t="s">
        <v>54</v>
      </c>
      <c r="L6" s="11"/>
      <c r="M6" s="11"/>
      <c r="N6">
        <v>29</v>
      </c>
    </row>
    <row r="7" spans="1:18" ht="12.75">
      <c r="F7" s="13" t="s">
        <v>55</v>
      </c>
      <c r="G7" s="14">
        <f>SUM(G3:G6)</f>
        <v>10</v>
      </c>
      <c r="N7">
        <v>25</v>
      </c>
    </row>
    <row r="8" spans="1:18" ht="15.75" customHeight="1">
      <c r="N8">
        <v>22</v>
      </c>
    </row>
    <row r="9" spans="1:18" ht="15.75" customHeight="1">
      <c r="N9">
        <f>SUM(N5:N8)</f>
        <v>97</v>
      </c>
    </row>
    <row r="10" spans="1:18" ht="63.75" customHeight="1">
      <c r="A10" s="55" t="s">
        <v>8</v>
      </c>
      <c r="B10" s="55" t="s">
        <v>9</v>
      </c>
      <c r="C10" s="55" t="s">
        <v>10</v>
      </c>
      <c r="D10" s="55" t="s">
        <v>11</v>
      </c>
      <c r="E10" s="55" t="s">
        <v>12</v>
      </c>
      <c r="F10" s="55" t="s">
        <v>13</v>
      </c>
      <c r="G10" s="55" t="s">
        <v>14</v>
      </c>
      <c r="H10" s="55" t="s">
        <v>15</v>
      </c>
      <c r="I10" s="55" t="s">
        <v>16</v>
      </c>
      <c r="J10" s="55" t="s">
        <v>17</v>
      </c>
      <c r="K10" s="57" t="s">
        <v>18</v>
      </c>
      <c r="N10">
        <f>97/4</f>
        <v>24.25</v>
      </c>
    </row>
    <row r="11" spans="1:18" ht="187.5" customHeight="1">
      <c r="A11" s="49" t="s">
        <v>56</v>
      </c>
      <c r="B11" s="49" t="s">
        <v>57</v>
      </c>
      <c r="C11" s="49" t="s">
        <v>58</v>
      </c>
      <c r="D11" s="10">
        <v>5</v>
      </c>
      <c r="E11" s="10" t="s">
        <v>59</v>
      </c>
      <c r="F11" s="10" t="s">
        <v>60</v>
      </c>
      <c r="G11" s="10">
        <v>1</v>
      </c>
      <c r="H11" s="10" t="s">
        <v>61</v>
      </c>
      <c r="I11" s="48" t="s">
        <v>62</v>
      </c>
      <c r="J11" s="10" t="s">
        <v>63</v>
      </c>
      <c r="K11" s="56">
        <v>46073</v>
      </c>
    </row>
    <row r="12" spans="1:18" ht="135" customHeight="1">
      <c r="A12" s="49" t="s">
        <v>64</v>
      </c>
      <c r="B12" s="49" t="s">
        <v>65</v>
      </c>
      <c r="C12" s="49" t="s">
        <v>66</v>
      </c>
      <c r="D12" s="10">
        <v>5</v>
      </c>
      <c r="E12" s="48" t="s">
        <v>67</v>
      </c>
      <c r="F12" s="48" t="s">
        <v>68</v>
      </c>
      <c r="G12" s="10">
        <v>3</v>
      </c>
      <c r="H12" s="49" t="s">
        <v>34</v>
      </c>
      <c r="I12" s="49" t="s">
        <v>69</v>
      </c>
      <c r="J12" s="10" t="s">
        <v>70</v>
      </c>
      <c r="K12" s="56">
        <v>46080</v>
      </c>
    </row>
    <row r="13" spans="1:18" ht="95.25" customHeight="1">
      <c r="A13" s="49" t="s">
        <v>71</v>
      </c>
      <c r="B13" s="49" t="s">
        <v>65</v>
      </c>
      <c r="C13" s="49" t="s">
        <v>72</v>
      </c>
      <c r="D13" s="10">
        <v>4</v>
      </c>
      <c r="E13" s="10" t="s">
        <v>73</v>
      </c>
      <c r="F13" s="48" t="s">
        <v>74</v>
      </c>
      <c r="G13" s="10">
        <v>3</v>
      </c>
      <c r="H13" s="10" t="s">
        <v>34</v>
      </c>
      <c r="I13" s="48" t="s">
        <v>75</v>
      </c>
      <c r="J13" s="10" t="s">
        <v>76</v>
      </c>
      <c r="K13" s="56">
        <v>46080</v>
      </c>
    </row>
    <row r="14" spans="1:18" ht="97.5" customHeight="1">
      <c r="A14" s="49" t="s">
        <v>77</v>
      </c>
      <c r="B14" s="49" t="s">
        <v>19</v>
      </c>
      <c r="C14" s="10" t="s">
        <v>78</v>
      </c>
      <c r="D14" s="10">
        <v>7</v>
      </c>
      <c r="E14" s="48" t="s">
        <v>79</v>
      </c>
      <c r="F14" s="10" t="s">
        <v>80</v>
      </c>
      <c r="G14" s="10">
        <v>4</v>
      </c>
      <c r="H14" s="49" t="s">
        <v>43</v>
      </c>
      <c r="I14" s="48" t="s">
        <v>44</v>
      </c>
      <c r="J14" s="10" t="s">
        <v>81</v>
      </c>
      <c r="K14" s="56">
        <v>46073</v>
      </c>
    </row>
    <row r="15" spans="1:18" ht="1.5" customHeight="1">
      <c r="A15" s="49"/>
      <c r="B15" s="49"/>
      <c r="C15" s="49"/>
      <c r="D15" s="49"/>
      <c r="E15" s="49"/>
      <c r="F15" s="49"/>
      <c r="G15" s="49"/>
      <c r="H15" s="49"/>
      <c r="I15" s="49"/>
      <c r="J15" s="49"/>
      <c r="K15" s="49"/>
    </row>
    <row r="16" spans="1:18" ht="15.75" customHeight="1">
      <c r="A16" s="122" t="s">
        <v>82</v>
      </c>
      <c r="B16" s="122" t="s">
        <v>65</v>
      </c>
      <c r="C16" s="123" t="s">
        <v>83</v>
      </c>
      <c r="D16" s="123">
        <v>8</v>
      </c>
      <c r="E16" s="123" t="s">
        <v>84</v>
      </c>
      <c r="F16" s="123" t="s">
        <v>85</v>
      </c>
      <c r="G16" s="122">
        <v>6</v>
      </c>
      <c r="H16" s="122" t="s">
        <v>86</v>
      </c>
      <c r="I16" s="123" t="s">
        <v>87</v>
      </c>
      <c r="J16" s="122" t="s">
        <v>88</v>
      </c>
      <c r="K16" s="124">
        <v>46080</v>
      </c>
    </row>
    <row r="17" spans="1:11" ht="15.75" customHeight="1">
      <c r="A17" s="122"/>
      <c r="B17" s="122"/>
      <c r="C17" s="123"/>
      <c r="D17" s="123"/>
      <c r="E17" s="123"/>
      <c r="F17" s="123"/>
      <c r="G17" s="122"/>
      <c r="H17" s="122"/>
      <c r="I17" s="123"/>
      <c r="J17" s="122"/>
      <c r="K17" s="122"/>
    </row>
    <row r="18" spans="1:11" ht="15.75" customHeight="1">
      <c r="A18" s="122"/>
      <c r="B18" s="122"/>
      <c r="C18" s="123"/>
      <c r="D18" s="123"/>
      <c r="E18" s="123"/>
      <c r="F18" s="123"/>
      <c r="G18" s="122"/>
      <c r="H18" s="122"/>
      <c r="I18" s="123"/>
      <c r="J18" s="122"/>
      <c r="K18" s="122"/>
    </row>
    <row r="19" spans="1:11" ht="15.75" customHeight="1">
      <c r="A19" s="122"/>
      <c r="B19" s="122"/>
      <c r="C19" s="123"/>
      <c r="D19" s="123"/>
      <c r="E19" s="123"/>
      <c r="F19" s="123"/>
      <c r="G19" s="122"/>
      <c r="H19" s="122"/>
      <c r="I19" s="123"/>
      <c r="J19" s="122"/>
      <c r="K19" s="122"/>
    </row>
    <row r="20" spans="1:11" ht="15.75" customHeight="1">
      <c r="A20" s="122"/>
      <c r="B20" s="122"/>
      <c r="C20" s="123"/>
      <c r="D20" s="123"/>
      <c r="E20" s="123"/>
      <c r="F20" s="123"/>
      <c r="G20" s="122"/>
      <c r="H20" s="122"/>
      <c r="I20" s="123"/>
      <c r="J20" s="122"/>
      <c r="K20" s="122"/>
    </row>
    <row r="21" spans="1:11" ht="15.75" customHeight="1">
      <c r="A21" s="122"/>
      <c r="B21" s="122"/>
      <c r="C21" s="123"/>
      <c r="D21" s="123"/>
      <c r="E21" s="123"/>
      <c r="F21" s="123"/>
      <c r="G21" s="122"/>
      <c r="H21" s="122"/>
      <c r="I21" s="123"/>
      <c r="J21" s="122"/>
      <c r="K21" s="122"/>
    </row>
    <row r="22" spans="1:11" ht="15.75" customHeight="1">
      <c r="G22">
        <f>SUM(G11:G21)</f>
        <v>17</v>
      </c>
    </row>
    <row r="23" spans="1:11" ht="15.75" customHeight="1">
      <c r="A23" s="75" t="s">
        <v>8</v>
      </c>
      <c r="B23" s="121" t="s">
        <v>9</v>
      </c>
      <c r="C23" s="120" t="s">
        <v>10</v>
      </c>
      <c r="D23" s="119" t="s">
        <v>11</v>
      </c>
      <c r="E23" s="119" t="s">
        <v>12</v>
      </c>
      <c r="F23" s="119" t="s">
        <v>13</v>
      </c>
      <c r="G23" s="119" t="s">
        <v>14</v>
      </c>
      <c r="H23" s="119" t="s">
        <v>15</v>
      </c>
      <c r="I23" s="120" t="s">
        <v>16</v>
      </c>
      <c r="J23" s="119" t="s">
        <v>17</v>
      </c>
      <c r="K23" s="119" t="s">
        <v>18</v>
      </c>
    </row>
    <row r="24" spans="1:11" ht="15.75" customHeight="1">
      <c r="A24" s="75"/>
      <c r="B24" s="121"/>
      <c r="C24" s="120"/>
      <c r="D24" s="119"/>
      <c r="E24" s="119"/>
      <c r="F24" s="119"/>
      <c r="G24" s="119"/>
      <c r="H24" s="119"/>
      <c r="I24" s="120"/>
      <c r="J24" s="119"/>
      <c r="K24" s="119"/>
    </row>
    <row r="25" spans="1:11" ht="76.5">
      <c r="A25" s="86" t="s">
        <v>89</v>
      </c>
      <c r="B25" s="86" t="s">
        <v>90</v>
      </c>
      <c r="C25" s="86" t="s">
        <v>91</v>
      </c>
      <c r="D25" s="88">
        <v>5</v>
      </c>
      <c r="E25" s="86" t="s">
        <v>92</v>
      </c>
      <c r="F25" s="89" t="s">
        <v>93</v>
      </c>
      <c r="G25" s="90">
        <v>5</v>
      </c>
      <c r="H25" s="91" t="s">
        <v>43</v>
      </c>
      <c r="I25" s="91" t="s">
        <v>94</v>
      </c>
      <c r="J25" s="90" t="s">
        <v>95</v>
      </c>
      <c r="K25" s="92" t="s">
        <v>96</v>
      </c>
    </row>
    <row r="26" spans="1:11" ht="204">
      <c r="A26" s="86" t="s">
        <v>97</v>
      </c>
      <c r="B26" s="86" t="s">
        <v>90</v>
      </c>
      <c r="C26" s="89" t="s">
        <v>98</v>
      </c>
      <c r="D26" s="88">
        <v>9</v>
      </c>
      <c r="E26" s="88" t="s">
        <v>99</v>
      </c>
      <c r="F26" s="86" t="s">
        <v>100</v>
      </c>
      <c r="G26" s="90">
        <v>9</v>
      </c>
      <c r="H26" s="90" t="s">
        <v>101</v>
      </c>
      <c r="I26" s="89" t="s">
        <v>102</v>
      </c>
      <c r="J26" s="90" t="s">
        <v>103</v>
      </c>
      <c r="K26" s="92" t="s">
        <v>104</v>
      </c>
    </row>
    <row r="27" spans="1:11" ht="140.25">
      <c r="A27" s="87" t="s">
        <v>105</v>
      </c>
      <c r="B27" s="87" t="s">
        <v>97</v>
      </c>
      <c r="C27" s="97" t="s">
        <v>106</v>
      </c>
      <c r="D27" s="87">
        <v>7</v>
      </c>
      <c r="E27" s="87" t="s">
        <v>107</v>
      </c>
      <c r="F27" s="60" t="s">
        <v>108</v>
      </c>
      <c r="G27" s="93">
        <v>7</v>
      </c>
      <c r="H27" s="94" t="s">
        <v>101</v>
      </c>
      <c r="I27" s="95" t="s">
        <v>109</v>
      </c>
      <c r="J27" s="93" t="s">
        <v>110</v>
      </c>
      <c r="K27" s="96" t="s">
        <v>111</v>
      </c>
    </row>
    <row r="28" spans="1:11" ht="63.75">
      <c r="A28" s="86" t="s">
        <v>112</v>
      </c>
      <c r="B28" s="86" t="s">
        <v>113</v>
      </c>
      <c r="C28" s="98" t="s">
        <v>114</v>
      </c>
      <c r="D28" s="86">
        <v>4</v>
      </c>
      <c r="E28" s="86" t="s">
        <v>115</v>
      </c>
      <c r="F28" s="91" t="s">
        <v>116</v>
      </c>
      <c r="G28" s="91">
        <v>4</v>
      </c>
      <c r="H28" s="91" t="s">
        <v>117</v>
      </c>
      <c r="I28" s="89" t="s">
        <v>118</v>
      </c>
      <c r="J28" s="91" t="s">
        <v>119</v>
      </c>
      <c r="K28" s="99" t="s">
        <v>96</v>
      </c>
    </row>
    <row r="29" spans="1:11" ht="12.75">
      <c r="A29" s="86"/>
      <c r="B29" s="86"/>
      <c r="C29" s="98"/>
      <c r="D29" s="86"/>
      <c r="E29" s="86"/>
      <c r="F29" s="50"/>
      <c r="G29" s="91">
        <f>SUM(G25:G28)</f>
        <v>25</v>
      </c>
      <c r="H29" s="91"/>
      <c r="I29" s="89"/>
      <c r="J29" s="91"/>
      <c r="K29" s="99"/>
    </row>
    <row r="30" spans="1:11" ht="12.75">
      <c r="A30" s="83"/>
      <c r="B30" s="83"/>
      <c r="C30" s="100"/>
      <c r="D30" s="100"/>
      <c r="E30" s="100"/>
      <c r="F30" s="80"/>
      <c r="G30" s="83"/>
      <c r="H30" s="83"/>
      <c r="I30" s="100"/>
      <c r="J30" s="83"/>
      <c r="K30" s="83"/>
    </row>
    <row r="31" spans="1:11" ht="12.75">
      <c r="A31" s="83"/>
      <c r="B31" s="83"/>
      <c r="C31" s="100"/>
      <c r="D31" s="100"/>
      <c r="E31" s="100"/>
      <c r="F31" s="80"/>
      <c r="G31" s="83"/>
      <c r="H31" s="83"/>
      <c r="I31" s="100"/>
      <c r="J31" s="83"/>
      <c r="K31" s="83"/>
    </row>
    <row r="32" spans="1:11" ht="15" customHeight="1">
      <c r="A32" s="75"/>
      <c r="B32" s="121"/>
      <c r="C32" s="120"/>
      <c r="D32" s="119"/>
      <c r="E32" s="119"/>
      <c r="F32" s="119"/>
      <c r="G32" s="119"/>
      <c r="H32" s="119"/>
      <c r="I32" s="120"/>
      <c r="J32" s="119"/>
      <c r="K32" s="119"/>
    </row>
    <row r="33" spans="1:11">
      <c r="A33" s="75"/>
      <c r="B33" s="121"/>
      <c r="C33" s="120"/>
      <c r="D33" s="119"/>
      <c r="E33" s="119"/>
      <c r="F33" s="119"/>
      <c r="G33" s="119"/>
      <c r="H33" s="119"/>
      <c r="I33" s="120"/>
      <c r="J33" s="119"/>
      <c r="K33" s="119"/>
    </row>
    <row r="34" spans="1:11" ht="61.5" customHeight="1">
      <c r="A34" s="86" t="s">
        <v>120</v>
      </c>
      <c r="B34" s="86" t="s">
        <v>121</v>
      </c>
      <c r="C34" s="86" t="s">
        <v>122</v>
      </c>
      <c r="D34" s="88">
        <v>6</v>
      </c>
      <c r="E34" s="86" t="s">
        <v>123</v>
      </c>
      <c r="F34" s="89" t="s">
        <v>124</v>
      </c>
      <c r="G34" s="90">
        <v>5</v>
      </c>
      <c r="H34" s="91" t="s">
        <v>117</v>
      </c>
      <c r="I34" s="91" t="s">
        <v>125</v>
      </c>
      <c r="J34" s="90" t="s">
        <v>126</v>
      </c>
      <c r="K34" s="92">
        <v>46121</v>
      </c>
    </row>
    <row r="35" spans="1:11" ht="90" customHeight="1">
      <c r="A35" s="86" t="s">
        <v>121</v>
      </c>
      <c r="B35" s="86" t="s">
        <v>127</v>
      </c>
      <c r="C35" s="89" t="s">
        <v>128</v>
      </c>
      <c r="D35" s="88">
        <v>10</v>
      </c>
      <c r="E35" s="88" t="s">
        <v>129</v>
      </c>
      <c r="F35" s="86" t="s">
        <v>130</v>
      </c>
      <c r="G35" s="90">
        <v>10</v>
      </c>
      <c r="H35" s="90" t="s">
        <v>101</v>
      </c>
      <c r="I35" s="89" t="s">
        <v>131</v>
      </c>
      <c r="J35" s="90" t="s">
        <v>132</v>
      </c>
      <c r="K35" s="92" t="s">
        <v>133</v>
      </c>
    </row>
    <row r="36" spans="1:11" ht="78.75" customHeight="1">
      <c r="A36" s="87" t="s">
        <v>134</v>
      </c>
      <c r="B36" s="87" t="s">
        <v>121</v>
      </c>
      <c r="C36" s="97" t="s">
        <v>135</v>
      </c>
      <c r="D36" s="87">
        <v>6</v>
      </c>
      <c r="E36" s="87" t="s">
        <v>136</v>
      </c>
      <c r="F36" s="86" t="s">
        <v>137</v>
      </c>
      <c r="G36" s="93"/>
      <c r="H36" s="94" t="s">
        <v>43</v>
      </c>
      <c r="I36" s="95" t="s">
        <v>138</v>
      </c>
      <c r="J36" s="93" t="s">
        <v>139</v>
      </c>
      <c r="K36" s="96" t="s">
        <v>140</v>
      </c>
    </row>
    <row r="37" spans="1:11" ht="78" customHeight="1">
      <c r="A37" s="86"/>
      <c r="B37" s="86"/>
      <c r="C37" s="98"/>
      <c r="D37" s="86"/>
      <c r="E37" s="86"/>
      <c r="F37" s="86"/>
      <c r="G37" s="91"/>
      <c r="H37" s="91"/>
      <c r="I37" s="89"/>
      <c r="J37" s="91"/>
      <c r="K37" s="99"/>
    </row>
    <row r="38" spans="1:11" ht="63" customHeight="1">
      <c r="A38" s="86"/>
      <c r="B38" s="86"/>
      <c r="C38" s="98"/>
      <c r="D38" s="86"/>
      <c r="E38" s="86"/>
      <c r="F38" s="86"/>
      <c r="G38" s="91"/>
      <c r="H38" s="91"/>
      <c r="I38" s="89"/>
      <c r="J38" s="91"/>
      <c r="K38" s="99"/>
    </row>
  </sheetData>
  <mergeCells count="31">
    <mergeCell ref="K16:K21"/>
    <mergeCell ref="C16:C21"/>
    <mergeCell ref="D16:D21"/>
    <mergeCell ref="E16:E21"/>
    <mergeCell ref="F16:F21"/>
    <mergeCell ref="G16:G21"/>
    <mergeCell ref="A16:A21"/>
    <mergeCell ref="B16:B21"/>
    <mergeCell ref="H16:H21"/>
    <mergeCell ref="I16:I21"/>
    <mergeCell ref="J16:J21"/>
    <mergeCell ref="G23:G24"/>
    <mergeCell ref="H23:H24"/>
    <mergeCell ref="I23:I24"/>
    <mergeCell ref="J23:J24"/>
    <mergeCell ref="K23:K24"/>
    <mergeCell ref="F23:F24"/>
    <mergeCell ref="E23:E24"/>
    <mergeCell ref="D23:D24"/>
    <mergeCell ref="C23:C24"/>
    <mergeCell ref="B23:B24"/>
    <mergeCell ref="B32:B33"/>
    <mergeCell ref="C32:C33"/>
    <mergeCell ref="D32:D33"/>
    <mergeCell ref="E32:E33"/>
    <mergeCell ref="F32:F33"/>
    <mergeCell ref="G32:G33"/>
    <mergeCell ref="H32:H33"/>
    <mergeCell ref="I32:I33"/>
    <mergeCell ref="J32:J33"/>
    <mergeCell ref="K32:K33"/>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A68E-ACCD-4B65-A56D-8B2DCA10AC13}">
  <dimension ref="A1"/>
  <sheetViews>
    <sheetView zoomScaleNormal="100" zoomScaleSheetLayoutView="100" workbookViewId="0"/>
  </sheetViews>
  <sheetFormatPr defaultRowHeight="12.7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1091-B4F7-4AA4-A647-1DC121CD1882}">
  <sheetPr>
    <pageSetUpPr fitToPage="1"/>
  </sheetPr>
  <dimension ref="A1:I29"/>
  <sheetViews>
    <sheetView topLeftCell="B4" zoomScale="88" workbookViewId="0">
      <selection activeCell="E14" sqref="E14"/>
    </sheetView>
  </sheetViews>
  <sheetFormatPr defaultRowHeight="12.75"/>
  <cols>
    <col min="3" max="3" width="40" customWidth="1"/>
    <col min="4" max="4" width="44.85546875" customWidth="1"/>
    <col min="5" max="5" width="7.42578125" customWidth="1"/>
    <col min="6" max="6" width="15.42578125" customWidth="1"/>
    <col min="7" max="7" width="55.42578125" bestFit="1" customWidth="1"/>
  </cols>
  <sheetData>
    <row r="1" spans="1:9" ht="20.25">
      <c r="A1" s="110" t="s">
        <v>141</v>
      </c>
      <c r="B1" s="110"/>
      <c r="C1" s="110"/>
      <c r="D1" s="110"/>
      <c r="E1" s="110"/>
      <c r="F1" s="110"/>
      <c r="G1" s="110"/>
    </row>
    <row r="2" spans="1:9" ht="14.45" customHeight="1">
      <c r="A2" s="111"/>
      <c r="B2" s="111"/>
      <c r="C2" s="111"/>
      <c r="D2" s="111"/>
      <c r="E2" s="111"/>
      <c r="F2" s="111"/>
      <c r="G2" s="111"/>
    </row>
    <row r="3" spans="1:9" ht="27.4" customHeight="1">
      <c r="A3" s="112" t="s">
        <v>142</v>
      </c>
      <c r="B3" s="112"/>
      <c r="C3" s="112"/>
      <c r="D3" s="112"/>
      <c r="E3" s="112"/>
      <c r="F3" s="112"/>
      <c r="G3" s="112"/>
    </row>
    <row r="4" spans="1:9" ht="83.25" customHeight="1">
      <c r="A4" s="113"/>
      <c r="B4" s="113"/>
      <c r="C4" s="113"/>
      <c r="D4" s="113"/>
      <c r="E4" s="113"/>
      <c r="F4" s="113"/>
      <c r="G4" s="113"/>
    </row>
    <row r="5" spans="1:9" ht="14.45" customHeight="1">
      <c r="A5" s="111"/>
      <c r="B5" s="111"/>
      <c r="C5" s="111"/>
      <c r="D5" s="111"/>
      <c r="E5" s="111"/>
      <c r="F5" s="111"/>
      <c r="G5" s="111"/>
    </row>
    <row r="6" spans="1:9" s="31" customFormat="1" ht="40.5" customHeight="1">
      <c r="A6" s="23" t="s">
        <v>143</v>
      </c>
      <c r="B6" s="23" t="s">
        <v>144</v>
      </c>
      <c r="C6" s="23" t="s">
        <v>145</v>
      </c>
      <c r="D6" s="23" t="s">
        <v>146</v>
      </c>
      <c r="E6" s="24" t="s">
        <v>147</v>
      </c>
      <c r="F6" s="23" t="s">
        <v>148</v>
      </c>
      <c r="G6" s="23" t="s">
        <v>149</v>
      </c>
    </row>
    <row r="7" spans="1:9" ht="14.25">
      <c r="A7" s="25" t="s">
        <v>150</v>
      </c>
      <c r="B7" s="25" t="s">
        <v>151</v>
      </c>
      <c r="C7" s="26" t="s">
        <v>152</v>
      </c>
      <c r="D7" s="26" t="s">
        <v>153</v>
      </c>
      <c r="E7" s="125">
        <v>2</v>
      </c>
      <c r="F7" s="25" t="s">
        <v>154</v>
      </c>
      <c r="G7" s="25" t="s">
        <v>155</v>
      </c>
    </row>
    <row r="8" spans="1:9" ht="15">
      <c r="A8" s="25"/>
      <c r="B8" s="25" t="s">
        <v>156</v>
      </c>
      <c r="C8" s="101" t="s">
        <v>157</v>
      </c>
      <c r="D8" s="26" t="s">
        <v>158</v>
      </c>
      <c r="E8" s="125"/>
      <c r="F8" s="25"/>
      <c r="G8" s="25"/>
    </row>
    <row r="9" spans="1:9" ht="29.25">
      <c r="A9" s="25"/>
      <c r="B9" s="25" t="s">
        <v>159</v>
      </c>
      <c r="C9" s="101" t="s">
        <v>160</v>
      </c>
      <c r="D9" s="26" t="s">
        <v>161</v>
      </c>
      <c r="E9" s="125"/>
      <c r="F9" s="25" t="s">
        <v>154</v>
      </c>
      <c r="G9" s="25"/>
    </row>
    <row r="10" spans="1:9" ht="29.25">
      <c r="A10" s="25"/>
      <c r="B10" s="25" t="s">
        <v>162</v>
      </c>
      <c r="C10" s="26" t="s">
        <v>163</v>
      </c>
      <c r="D10" s="28" t="s">
        <v>164</v>
      </c>
      <c r="E10" s="25">
        <v>3</v>
      </c>
      <c r="F10" s="25" t="s">
        <v>154</v>
      </c>
      <c r="G10" s="102"/>
    </row>
    <row r="11" spans="1:9" ht="29.25">
      <c r="A11" s="25" t="s">
        <v>165</v>
      </c>
      <c r="B11" s="25" t="s">
        <v>166</v>
      </c>
      <c r="C11" s="26" t="s">
        <v>167</v>
      </c>
      <c r="D11" s="26" t="s">
        <v>168</v>
      </c>
      <c r="E11" s="27">
        <v>1</v>
      </c>
      <c r="F11" s="25" t="s">
        <v>154</v>
      </c>
      <c r="G11" s="25"/>
      <c r="I11" s="32"/>
    </row>
    <row r="12" spans="1:9" ht="43.5">
      <c r="A12" s="25" t="s">
        <v>169</v>
      </c>
      <c r="B12" s="25" t="s">
        <v>170</v>
      </c>
      <c r="C12" s="103" t="s">
        <v>171</v>
      </c>
      <c r="D12" s="26" t="s">
        <v>172</v>
      </c>
      <c r="E12" s="27">
        <v>4</v>
      </c>
      <c r="F12" s="25" t="s">
        <v>154</v>
      </c>
      <c r="G12" s="25"/>
      <c r="I12" s="32"/>
    </row>
    <row r="13" spans="1:9" ht="28.5">
      <c r="A13" s="25"/>
      <c r="B13" s="25" t="s">
        <v>173</v>
      </c>
      <c r="C13" s="26" t="s">
        <v>174</v>
      </c>
      <c r="D13" s="26" t="s">
        <v>175</v>
      </c>
      <c r="E13" s="27">
        <v>4</v>
      </c>
      <c r="F13" s="25" t="s">
        <v>154</v>
      </c>
      <c r="G13" s="25"/>
    </row>
    <row r="14" spans="1:9" ht="28.5">
      <c r="A14" s="25"/>
      <c r="B14" s="25" t="s">
        <v>176</v>
      </c>
      <c r="C14" s="26" t="s">
        <v>177</v>
      </c>
      <c r="D14" s="26" t="s">
        <v>178</v>
      </c>
      <c r="E14" s="27">
        <v>1</v>
      </c>
      <c r="F14" s="25" t="s">
        <v>154</v>
      </c>
      <c r="G14" s="25"/>
    </row>
    <row r="15" spans="1:9" ht="28.5">
      <c r="A15" s="25"/>
      <c r="B15" s="25" t="s">
        <v>179</v>
      </c>
      <c r="C15" s="28" t="s">
        <v>180</v>
      </c>
      <c r="D15" s="28" t="s">
        <v>181</v>
      </c>
      <c r="E15" s="27">
        <v>1</v>
      </c>
      <c r="F15" s="25" t="s">
        <v>182</v>
      </c>
      <c r="G15" s="104"/>
    </row>
    <row r="16" spans="1:9" ht="45">
      <c r="A16" s="25" t="s">
        <v>183</v>
      </c>
      <c r="B16" s="25" t="s">
        <v>184</v>
      </c>
      <c r="C16" s="105" t="s">
        <v>185</v>
      </c>
      <c r="D16" s="29" t="s">
        <v>186</v>
      </c>
      <c r="E16" s="25">
        <v>5</v>
      </c>
      <c r="F16" s="25" t="s">
        <v>154</v>
      </c>
      <c r="G16" s="28"/>
    </row>
    <row r="17" spans="1:7" ht="30">
      <c r="A17" s="25"/>
      <c r="B17" s="25" t="s">
        <v>187</v>
      </c>
      <c r="C17" s="106" t="s">
        <v>188</v>
      </c>
      <c r="D17" s="29" t="s">
        <v>189</v>
      </c>
      <c r="E17" s="25">
        <v>3</v>
      </c>
      <c r="F17" s="25" t="s">
        <v>154</v>
      </c>
      <c r="G17" s="28"/>
    </row>
    <row r="18" spans="1:7" ht="75">
      <c r="A18" s="25"/>
      <c r="B18" s="25" t="s">
        <v>190</v>
      </c>
      <c r="C18" s="29" t="s">
        <v>191</v>
      </c>
      <c r="D18" s="29" t="s">
        <v>192</v>
      </c>
      <c r="E18" s="25">
        <v>5</v>
      </c>
      <c r="F18" s="25" t="s">
        <v>154</v>
      </c>
      <c r="G18" s="28"/>
    </row>
    <row r="19" spans="1:7" ht="90">
      <c r="A19" s="25"/>
      <c r="B19" s="25" t="s">
        <v>193</v>
      </c>
      <c r="C19" s="35" t="s">
        <v>194</v>
      </c>
      <c r="D19" s="35" t="s">
        <v>195</v>
      </c>
      <c r="E19" s="25">
        <v>5</v>
      </c>
      <c r="F19" s="25" t="s">
        <v>154</v>
      </c>
      <c r="G19" s="25"/>
    </row>
    <row r="20" spans="1:7" ht="14.25">
      <c r="A20" s="104"/>
      <c r="B20" s="104"/>
      <c r="C20" s="104"/>
      <c r="D20" s="104"/>
      <c r="E20" s="25"/>
      <c r="F20" s="25"/>
      <c r="G20" s="25"/>
    </row>
    <row r="21" spans="1:7" ht="14.25">
      <c r="A21" s="25"/>
      <c r="B21" s="25"/>
      <c r="C21" s="25"/>
      <c r="D21" s="25" t="s">
        <v>196</v>
      </c>
      <c r="E21" s="25">
        <f>SUM(E7:E19)</f>
        <v>34</v>
      </c>
      <c r="F21" s="25"/>
      <c r="G21" s="25"/>
    </row>
    <row r="22" spans="1:7">
      <c r="A22" s="104"/>
      <c r="B22" s="104"/>
      <c r="C22" s="107"/>
      <c r="D22" s="107" t="s">
        <v>197</v>
      </c>
      <c r="E22" s="104"/>
      <c r="F22" s="104"/>
      <c r="G22" s="104"/>
    </row>
    <row r="25" spans="1:7">
      <c r="C25" s="30"/>
      <c r="D25" s="30"/>
    </row>
    <row r="27" spans="1:7">
      <c r="C27" s="30"/>
      <c r="D27" s="30"/>
    </row>
    <row r="28" spans="1:7">
      <c r="C28" s="30"/>
      <c r="D28" s="30"/>
    </row>
    <row r="29" spans="1:7">
      <c r="C29" s="30"/>
      <c r="D29" s="30"/>
    </row>
  </sheetData>
  <mergeCells count="6">
    <mergeCell ref="E7:E9"/>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605CB3A8-6A93-483E-BBF6-E9CF408C84B3}"/>
    <dataValidation allowBlank="1" showInputMessage="1" showErrorMessage="1" promptTitle="Estimate" prompt="Estimated hours for the task." sqref="E6" xr:uid="{BE6BEFF3-7D88-466B-A8F1-1EF74D65FC03}"/>
    <dataValidation type="list" allowBlank="1" showInputMessage="1" showErrorMessage="1" promptTitle="Task Status" prompt="Current status of Task. One of: Planned, In Progress, On Hold, Completed" sqref="F25:F29 F16:F22 F7:F14" xr:uid="{50F22B57-6A5E-46A0-A9E1-BE7C2E59F275}">
      <formula1>"Planned, In Progress, On Hold, Completed"</formula1>
    </dataValidation>
  </dataValidations>
  <pageMargins left="0.7" right="0.7" top="0.75" bottom="0.75" header="0.3" footer="0.3"/>
  <pageSetup scale="66"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8"/>
  <sheetViews>
    <sheetView workbookViewId="0">
      <selection activeCell="H4" sqref="H4"/>
    </sheetView>
  </sheetViews>
  <sheetFormatPr defaultColWidth="12.5703125" defaultRowHeight="15.75" customHeight="1"/>
  <cols>
    <col min="2" max="2" width="59.85546875" customWidth="1"/>
    <col min="3" max="3" width="38.85546875" customWidth="1"/>
    <col min="4" max="4" width="19.7109375" customWidth="1"/>
    <col min="8" max="8" width="18.42578125" customWidth="1"/>
  </cols>
  <sheetData>
    <row r="1" spans="1:8">
      <c r="A1" s="22"/>
      <c r="B1" s="15" t="s">
        <v>198</v>
      </c>
      <c r="C1" s="15" t="s">
        <v>146</v>
      </c>
      <c r="D1" s="15" t="s">
        <v>199</v>
      </c>
      <c r="E1" s="15" t="s">
        <v>200</v>
      </c>
      <c r="F1" s="15" t="s">
        <v>15</v>
      </c>
      <c r="G1" s="15" t="s">
        <v>201</v>
      </c>
      <c r="H1" s="15" t="s">
        <v>202</v>
      </c>
    </row>
    <row r="2" spans="1:8" ht="25.5">
      <c r="A2" s="16" t="s">
        <v>203</v>
      </c>
      <c r="B2" s="33" t="s">
        <v>204</v>
      </c>
      <c r="C2" s="17" t="s">
        <v>205</v>
      </c>
      <c r="D2" s="18">
        <v>5</v>
      </c>
      <c r="E2" s="19">
        <v>45219</v>
      </c>
      <c r="F2" s="17" t="s">
        <v>86</v>
      </c>
      <c r="G2" s="17" t="s">
        <v>206</v>
      </c>
      <c r="H2" s="17" t="s">
        <v>207</v>
      </c>
    </row>
    <row r="3" spans="1:8" ht="25.5">
      <c r="A3" s="16" t="s">
        <v>203</v>
      </c>
      <c r="B3" s="33" t="s">
        <v>208</v>
      </c>
      <c r="C3" s="17"/>
      <c r="D3" s="18">
        <v>5</v>
      </c>
      <c r="E3" s="19">
        <v>45220</v>
      </c>
      <c r="F3" s="17" t="s">
        <v>86</v>
      </c>
      <c r="G3" s="17" t="s">
        <v>209</v>
      </c>
      <c r="H3" s="17" t="s">
        <v>210</v>
      </c>
    </row>
    <row r="4" spans="1:8" ht="12.75">
      <c r="A4" s="16" t="s">
        <v>211</v>
      </c>
      <c r="B4" s="17" t="s">
        <v>212</v>
      </c>
      <c r="C4" s="17" t="s">
        <v>213</v>
      </c>
      <c r="D4" s="18">
        <v>4</v>
      </c>
      <c r="E4" s="19">
        <v>46063</v>
      </c>
      <c r="F4" s="17" t="s">
        <v>86</v>
      </c>
      <c r="G4" s="17" t="s">
        <v>214</v>
      </c>
      <c r="H4" s="17" t="s">
        <v>215</v>
      </c>
    </row>
    <row r="5" spans="1:8" ht="25.5">
      <c r="A5" s="16" t="s">
        <v>211</v>
      </c>
      <c r="B5" s="33" t="s">
        <v>216</v>
      </c>
      <c r="C5" s="17" t="s">
        <v>217</v>
      </c>
      <c r="D5" s="18">
        <v>4</v>
      </c>
      <c r="E5" s="19">
        <v>45222</v>
      </c>
      <c r="F5" s="17" t="s">
        <v>86</v>
      </c>
      <c r="G5" s="17" t="s">
        <v>206</v>
      </c>
      <c r="H5" s="17" t="s">
        <v>218</v>
      </c>
    </row>
    <row r="6" spans="1:8" ht="12.75">
      <c r="A6" s="16" t="s">
        <v>219</v>
      </c>
      <c r="B6" s="33"/>
      <c r="C6" s="17" t="s">
        <v>220</v>
      </c>
      <c r="D6" s="18">
        <v>4</v>
      </c>
      <c r="E6" s="19">
        <v>45223</v>
      </c>
      <c r="F6" s="17" t="s">
        <v>86</v>
      </c>
      <c r="G6" s="17" t="s">
        <v>209</v>
      </c>
      <c r="H6" s="17" t="s">
        <v>210</v>
      </c>
    </row>
    <row r="7" spans="1:8" ht="25.5">
      <c r="A7" s="16" t="s">
        <v>221</v>
      </c>
      <c r="B7" s="33" t="s">
        <v>222</v>
      </c>
      <c r="C7" s="17" t="s">
        <v>223</v>
      </c>
      <c r="D7" s="18">
        <v>4</v>
      </c>
      <c r="E7" s="19">
        <v>45224</v>
      </c>
      <c r="F7" s="17" t="s">
        <v>86</v>
      </c>
      <c r="G7" s="17" t="s">
        <v>209</v>
      </c>
      <c r="H7" s="17" t="s">
        <v>224</v>
      </c>
    </row>
    <row r="8" spans="1:8" ht="12.75">
      <c r="C8" s="20" t="s">
        <v>225</v>
      </c>
      <c r="D8" s="20">
        <f>SUM(D2:D7)</f>
        <v>26</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E254-C76C-4810-9FEF-2CC33BB1257C}">
  <sheetPr>
    <pageSetUpPr fitToPage="1"/>
  </sheetPr>
  <dimension ref="A1:J32"/>
  <sheetViews>
    <sheetView topLeftCell="C5" zoomScale="89" workbookViewId="0">
      <selection activeCell="E17" sqref="E17"/>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10" t="s">
        <v>226</v>
      </c>
      <c r="B1" s="110"/>
      <c r="C1" s="110"/>
      <c r="D1" s="110"/>
      <c r="E1" s="110"/>
      <c r="F1" s="110"/>
      <c r="G1" s="110"/>
    </row>
    <row r="2" spans="1:10" ht="14.45" customHeight="1">
      <c r="A2" s="111"/>
      <c r="B2" s="111"/>
      <c r="C2" s="111"/>
      <c r="D2" s="111"/>
      <c r="E2" s="111"/>
      <c r="F2" s="111"/>
      <c r="G2" s="111"/>
    </row>
    <row r="3" spans="1:10" ht="27.4" customHeight="1">
      <c r="A3" s="112" t="s">
        <v>227</v>
      </c>
      <c r="B3" s="112"/>
      <c r="C3" s="112"/>
      <c r="D3" s="112"/>
      <c r="E3" s="112"/>
      <c r="F3" s="112"/>
      <c r="G3" s="112"/>
    </row>
    <row r="4" spans="1:10" ht="83.25" customHeight="1">
      <c r="A4" s="113"/>
      <c r="B4" s="113"/>
      <c r="C4" s="113"/>
      <c r="D4" s="113"/>
      <c r="E4" s="113"/>
      <c r="F4" s="113"/>
      <c r="G4" s="113"/>
    </row>
    <row r="5" spans="1:10" ht="14.45" customHeight="1">
      <c r="A5" s="111"/>
      <c r="B5" s="111"/>
      <c r="C5" s="111"/>
      <c r="D5" s="111"/>
      <c r="E5" s="111"/>
      <c r="F5" s="111"/>
      <c r="G5" s="111"/>
    </row>
    <row r="6" spans="1:10" s="31" customFormat="1" ht="40.5" customHeight="1">
      <c r="A6" s="51" t="s">
        <v>143</v>
      </c>
      <c r="B6" s="51" t="s">
        <v>144</v>
      </c>
      <c r="C6" s="51" t="s">
        <v>145</v>
      </c>
      <c r="D6" s="51" t="s">
        <v>146</v>
      </c>
      <c r="E6" s="52" t="s">
        <v>147</v>
      </c>
      <c r="F6" s="51" t="s">
        <v>148</v>
      </c>
      <c r="G6" s="51" t="s">
        <v>149</v>
      </c>
    </row>
    <row r="7" spans="1:10" ht="51">
      <c r="A7" s="58" t="s">
        <v>65</v>
      </c>
      <c r="B7" s="59" t="s">
        <v>228</v>
      </c>
      <c r="C7" s="50" t="s">
        <v>229</v>
      </c>
      <c r="D7" s="50" t="s">
        <v>230</v>
      </c>
      <c r="E7" s="50">
        <v>2</v>
      </c>
      <c r="F7" s="50" t="s">
        <v>154</v>
      </c>
      <c r="G7" s="50"/>
    </row>
    <row r="8" spans="1:10" ht="38.25">
      <c r="A8" s="60"/>
      <c r="B8" s="61" t="s">
        <v>231</v>
      </c>
      <c r="C8" s="50" t="s">
        <v>232</v>
      </c>
      <c r="D8" s="50" t="s">
        <v>233</v>
      </c>
      <c r="E8" s="50">
        <v>2</v>
      </c>
      <c r="F8" s="50" t="s">
        <v>154</v>
      </c>
      <c r="G8" s="50"/>
    </row>
    <row r="9" spans="1:10" ht="25.5">
      <c r="A9" s="62"/>
      <c r="B9" s="50" t="s">
        <v>234</v>
      </c>
      <c r="C9" s="63" t="s">
        <v>235</v>
      </c>
      <c r="D9" s="50" t="s">
        <v>236</v>
      </c>
      <c r="E9" s="50">
        <v>2</v>
      </c>
      <c r="F9" s="50" t="s">
        <v>154</v>
      </c>
      <c r="G9" s="50"/>
    </row>
    <row r="10" spans="1:10" ht="51">
      <c r="A10" s="64"/>
      <c r="B10" s="60" t="s">
        <v>237</v>
      </c>
      <c r="C10" s="63" t="s">
        <v>238</v>
      </c>
      <c r="D10" s="50" t="s">
        <v>239</v>
      </c>
      <c r="E10" s="50">
        <v>2</v>
      </c>
      <c r="F10" s="50" t="s">
        <v>154</v>
      </c>
      <c r="G10" s="50"/>
    </row>
    <row r="11" spans="1:10" ht="26.25">
      <c r="A11" s="50"/>
      <c r="B11" s="50" t="s">
        <v>240</v>
      </c>
      <c r="C11" s="63" t="s">
        <v>241</v>
      </c>
      <c r="D11" s="50" t="s">
        <v>242</v>
      </c>
      <c r="E11" s="65">
        <v>2</v>
      </c>
      <c r="F11" s="50" t="s">
        <v>154</v>
      </c>
      <c r="G11" s="50"/>
      <c r="H11" s="32"/>
    </row>
    <row r="12" spans="1:10" ht="26.25">
      <c r="A12" s="66"/>
      <c r="B12" s="67" t="s">
        <v>243</v>
      </c>
      <c r="C12" s="65" t="s">
        <v>244</v>
      </c>
      <c r="D12" s="50" t="s">
        <v>245</v>
      </c>
      <c r="E12" s="65">
        <v>2</v>
      </c>
      <c r="F12" s="50" t="s">
        <v>154</v>
      </c>
      <c r="G12" s="50"/>
      <c r="H12" s="32"/>
    </row>
    <row r="13" spans="1:10" ht="26.25">
      <c r="A13" s="66"/>
      <c r="B13" s="67" t="s">
        <v>246</v>
      </c>
      <c r="C13" s="65" t="s">
        <v>247</v>
      </c>
      <c r="D13" s="50" t="s">
        <v>248</v>
      </c>
      <c r="E13" s="65"/>
      <c r="F13" s="50"/>
      <c r="G13" s="50"/>
      <c r="H13" s="32"/>
    </row>
    <row r="14" spans="1:10" ht="21" customHeight="1">
      <c r="A14" s="50" t="s">
        <v>64</v>
      </c>
      <c r="B14" s="68" t="s">
        <v>249</v>
      </c>
      <c r="C14" s="65" t="s">
        <v>250</v>
      </c>
      <c r="D14" s="50" t="s">
        <v>251</v>
      </c>
      <c r="E14" s="69" t="s">
        <v>252</v>
      </c>
      <c r="F14" s="50" t="s">
        <v>154</v>
      </c>
      <c r="G14" s="50"/>
    </row>
    <row r="15" spans="1:10" ht="44.25" customHeight="1">
      <c r="A15" s="58"/>
      <c r="B15" s="70" t="s">
        <v>253</v>
      </c>
      <c r="C15" s="65" t="s">
        <v>254</v>
      </c>
      <c r="D15" s="50" t="s">
        <v>255</v>
      </c>
      <c r="E15" s="50">
        <v>2</v>
      </c>
      <c r="F15" s="50" t="s">
        <v>154</v>
      </c>
      <c r="G15" s="50"/>
      <c r="J15" s="47"/>
    </row>
    <row r="16" spans="1:10" ht="54" customHeight="1">
      <c r="A16" s="71" t="s">
        <v>71</v>
      </c>
      <c r="B16" s="68" t="s">
        <v>256</v>
      </c>
      <c r="C16" s="72" t="s">
        <v>257</v>
      </c>
      <c r="D16" s="53" t="s">
        <v>258</v>
      </c>
      <c r="E16" s="50">
        <v>2</v>
      </c>
      <c r="F16" s="50" t="s">
        <v>154</v>
      </c>
      <c r="G16" s="50"/>
    </row>
    <row r="17" spans="1:7" ht="38.25">
      <c r="A17" s="54"/>
      <c r="B17" s="68" t="s">
        <v>259</v>
      </c>
      <c r="C17" s="72" t="s">
        <v>260</v>
      </c>
      <c r="D17" s="50" t="s">
        <v>261</v>
      </c>
      <c r="E17" s="50">
        <v>2</v>
      </c>
      <c r="F17" s="50" t="s">
        <v>154</v>
      </c>
      <c r="G17" s="50"/>
    </row>
    <row r="18" spans="1:7">
      <c r="A18" s="54" t="s">
        <v>77</v>
      </c>
      <c r="B18" s="68" t="s">
        <v>262</v>
      </c>
      <c r="C18" s="72" t="s">
        <v>263</v>
      </c>
      <c r="D18" s="53" t="s">
        <v>80</v>
      </c>
      <c r="E18" s="50">
        <v>1</v>
      </c>
      <c r="F18" s="50" t="s">
        <v>154</v>
      </c>
      <c r="G18" s="50"/>
    </row>
    <row r="19" spans="1:7" ht="25.5">
      <c r="A19" s="54" t="s">
        <v>82</v>
      </c>
      <c r="B19" s="68" t="s">
        <v>264</v>
      </c>
      <c r="C19" s="72" t="s">
        <v>265</v>
      </c>
      <c r="D19" s="53" t="s">
        <v>266</v>
      </c>
      <c r="E19" s="50">
        <v>1.5</v>
      </c>
      <c r="F19" s="50" t="s">
        <v>154</v>
      </c>
      <c r="G19" s="50"/>
    </row>
    <row r="20" spans="1:7" ht="38.25">
      <c r="A20" s="50"/>
      <c r="B20" s="68" t="s">
        <v>267</v>
      </c>
      <c r="C20" s="50" t="s">
        <v>268</v>
      </c>
      <c r="D20" s="53" t="s">
        <v>269</v>
      </c>
      <c r="E20" s="50">
        <v>1.5</v>
      </c>
      <c r="F20" s="50" t="s">
        <v>154</v>
      </c>
      <c r="G20" s="50"/>
    </row>
    <row r="21" spans="1:7">
      <c r="A21" s="71"/>
      <c r="B21" s="67"/>
      <c r="C21" s="50"/>
      <c r="D21" s="50"/>
      <c r="E21" s="50">
        <f>SUM(E7:E20)</f>
        <v>22</v>
      </c>
      <c r="F21" s="50"/>
      <c r="G21" s="50"/>
    </row>
    <row r="22" spans="1:7">
      <c r="A22" s="50"/>
      <c r="B22" s="67"/>
      <c r="C22" s="50"/>
      <c r="D22" s="50"/>
      <c r="E22" s="50"/>
      <c r="F22" s="50"/>
      <c r="G22" s="50"/>
    </row>
    <row r="23" spans="1:7">
      <c r="A23" s="50"/>
      <c r="B23" s="68"/>
      <c r="C23" s="50"/>
      <c r="D23" s="50"/>
      <c r="E23" s="50"/>
      <c r="F23" s="50"/>
      <c r="G23" s="50"/>
    </row>
    <row r="24" spans="1:7">
      <c r="A24" s="73"/>
      <c r="B24" s="74"/>
      <c r="C24" s="73"/>
      <c r="D24" s="73"/>
      <c r="E24" s="73"/>
      <c r="F24" s="73"/>
      <c r="G24" s="73"/>
    </row>
    <row r="28" spans="1:7">
      <c r="C28" s="30"/>
      <c r="D28" s="30"/>
    </row>
    <row r="29" spans="1:7">
      <c r="C29" s="30"/>
      <c r="D29" s="30"/>
    </row>
    <row r="30" spans="1:7">
      <c r="C30" s="30"/>
      <c r="D30" s="30"/>
    </row>
    <row r="31" spans="1:7">
      <c r="C31" s="30"/>
      <c r="D31" s="30"/>
    </row>
    <row r="32" spans="1:7">
      <c r="C32" s="30"/>
      <c r="D32" s="30"/>
    </row>
  </sheetData>
  <mergeCells count="5">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7591B4F5-E893-44FD-B117-2E72E70DCD67}"/>
    <dataValidation allowBlank="1" showInputMessage="1" showErrorMessage="1" promptTitle="Estimate" prompt="Estimated hours for the task." sqref="E6" xr:uid="{54F6B67E-0132-41B9-A7C3-8DEEFF1A5880}"/>
    <dataValidation type="list" allowBlank="1" showInputMessage="1" showErrorMessage="1" promptTitle="Task Status" prompt="Current status of Task. One of: Planned, In Progress, On Hold, Completed" sqref="F28:F32 F7:F24" xr:uid="{00A661BE-3950-4A40-8E1C-EC8D6D1B2EC1}">
      <formula1>"Planned, In Progress, On Hold, Completed"</formula1>
    </dataValidation>
  </dataValidations>
  <pageMargins left="0.7" right="0.7" top="0.75" bottom="0.75" header="0.3" footer="0.3"/>
  <pageSetup scale="66"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2C237-B5CB-4453-BB73-0FE88FBE2656}">
  <sheetPr>
    <pageSetUpPr fitToPage="1"/>
  </sheetPr>
  <dimension ref="A1:J33"/>
  <sheetViews>
    <sheetView zoomScale="110" workbookViewId="0">
      <selection activeCell="E9" sqref="E9"/>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10" t="s">
        <v>226</v>
      </c>
      <c r="B1" s="110"/>
      <c r="C1" s="110"/>
      <c r="D1" s="110"/>
      <c r="E1" s="110"/>
      <c r="F1" s="110"/>
      <c r="G1" s="110"/>
    </row>
    <row r="2" spans="1:10" ht="14.45" customHeight="1">
      <c r="A2" s="111"/>
      <c r="B2" s="111"/>
      <c r="C2" s="111"/>
      <c r="D2" s="111"/>
      <c r="E2" s="111"/>
      <c r="F2" s="111"/>
      <c r="G2" s="111"/>
    </row>
    <row r="3" spans="1:10" ht="27.4" customHeight="1">
      <c r="A3" s="112" t="s">
        <v>227</v>
      </c>
      <c r="B3" s="112"/>
      <c r="C3" s="112"/>
      <c r="D3" s="112"/>
      <c r="E3" s="112"/>
      <c r="F3" s="112"/>
      <c r="G3" s="112"/>
    </row>
    <row r="4" spans="1:10" ht="83.25" customHeight="1">
      <c r="A4" s="113"/>
      <c r="B4" s="113"/>
      <c r="C4" s="113"/>
      <c r="D4" s="113"/>
      <c r="E4" s="113"/>
      <c r="F4" s="113"/>
      <c r="G4" s="113"/>
    </row>
    <row r="5" spans="1:10" ht="14.45" customHeight="1">
      <c r="A5" s="111"/>
      <c r="B5" s="111"/>
      <c r="C5" s="111"/>
      <c r="D5" s="111"/>
      <c r="E5" s="111"/>
      <c r="F5" s="111"/>
      <c r="G5" s="111"/>
    </row>
    <row r="6" spans="1:10" s="31" customFormat="1" ht="40.5" customHeight="1">
      <c r="A6" s="51" t="s">
        <v>143</v>
      </c>
      <c r="B6" s="51" t="s">
        <v>144</v>
      </c>
      <c r="C6" s="51" t="s">
        <v>145</v>
      </c>
      <c r="D6" s="51" t="s">
        <v>146</v>
      </c>
      <c r="E6" s="52" t="s">
        <v>147</v>
      </c>
      <c r="F6" s="51" t="s">
        <v>148</v>
      </c>
      <c r="G6" s="51" t="s">
        <v>149</v>
      </c>
    </row>
    <row r="7" spans="1:10" ht="25.5">
      <c r="A7" s="58" t="s">
        <v>270</v>
      </c>
      <c r="B7" s="59" t="s">
        <v>271</v>
      </c>
      <c r="C7" s="50" t="s">
        <v>272</v>
      </c>
      <c r="D7" s="50" t="s">
        <v>273</v>
      </c>
      <c r="E7" s="50">
        <v>1</v>
      </c>
      <c r="F7" s="50" t="s">
        <v>154</v>
      </c>
      <c r="G7" s="50"/>
    </row>
    <row r="8" spans="1:10" ht="25.5">
      <c r="A8" s="60"/>
      <c r="B8" s="61" t="s">
        <v>274</v>
      </c>
      <c r="C8" s="60" t="s">
        <v>275</v>
      </c>
      <c r="D8" s="60" t="s">
        <v>276</v>
      </c>
      <c r="E8" s="50">
        <v>1</v>
      </c>
      <c r="F8" s="50" t="s">
        <v>154</v>
      </c>
      <c r="G8" s="50"/>
    </row>
    <row r="9" spans="1:10" ht="41.25" customHeight="1">
      <c r="A9" s="78"/>
      <c r="B9" s="78" t="s">
        <v>277</v>
      </c>
      <c r="C9" s="78" t="s">
        <v>278</v>
      </c>
      <c r="D9" s="79" t="s">
        <v>279</v>
      </c>
      <c r="E9" s="80">
        <v>1</v>
      </c>
      <c r="F9" s="80" t="s">
        <v>154</v>
      </c>
      <c r="G9" s="50"/>
    </row>
    <row r="10" spans="1:10" ht="63.75">
      <c r="A10" s="66" t="s">
        <v>280</v>
      </c>
      <c r="B10" s="67" t="s">
        <v>281</v>
      </c>
      <c r="C10" s="81" t="s">
        <v>282</v>
      </c>
      <c r="D10" s="77" t="s">
        <v>283</v>
      </c>
      <c r="E10" s="50">
        <v>2</v>
      </c>
      <c r="F10" s="50" t="s">
        <v>154</v>
      </c>
      <c r="G10" s="50"/>
    </row>
    <row r="11" spans="1:10" ht="51" customHeight="1">
      <c r="A11" s="64"/>
      <c r="B11" s="61" t="s">
        <v>284</v>
      </c>
      <c r="C11" s="84" t="s">
        <v>285</v>
      </c>
      <c r="D11" s="63" t="s">
        <v>286</v>
      </c>
      <c r="E11" s="50">
        <v>2</v>
      </c>
      <c r="F11" s="50" t="s">
        <v>154</v>
      </c>
      <c r="G11" s="50"/>
      <c r="H11" s="32"/>
    </row>
    <row r="12" spans="1:10" ht="51" customHeight="1">
      <c r="A12" s="50"/>
      <c r="B12" s="80" t="s">
        <v>287</v>
      </c>
      <c r="C12" s="82" t="s">
        <v>288</v>
      </c>
      <c r="D12" s="83" t="s">
        <v>289</v>
      </c>
      <c r="E12" s="80">
        <v>2</v>
      </c>
      <c r="F12" s="50" t="s">
        <v>154</v>
      </c>
      <c r="G12" s="50"/>
      <c r="H12" s="32"/>
    </row>
    <row r="13" spans="1:10" ht="39">
      <c r="A13" s="66"/>
      <c r="B13" s="68" t="s">
        <v>290</v>
      </c>
      <c r="C13" s="66" t="s">
        <v>291</v>
      </c>
      <c r="D13" s="63" t="s">
        <v>292</v>
      </c>
      <c r="E13" s="65">
        <v>2</v>
      </c>
      <c r="F13" s="50" t="s">
        <v>154</v>
      </c>
      <c r="G13" s="50"/>
      <c r="H13" s="32"/>
    </row>
    <row r="14" spans="1:10" ht="38.25">
      <c r="A14" s="60"/>
      <c r="B14" s="61" t="s">
        <v>293</v>
      </c>
      <c r="C14" s="82" t="s">
        <v>294</v>
      </c>
      <c r="D14" s="85" t="s">
        <v>295</v>
      </c>
      <c r="E14" s="50">
        <v>2</v>
      </c>
      <c r="F14" s="50" t="s">
        <v>154</v>
      </c>
      <c r="G14" s="50"/>
      <c r="H14" s="32"/>
    </row>
    <row r="15" spans="1:10" ht="36" customHeight="1">
      <c r="A15" s="60" t="s">
        <v>296</v>
      </c>
      <c r="B15" s="68" t="s">
        <v>297</v>
      </c>
      <c r="C15" s="76" t="s">
        <v>298</v>
      </c>
      <c r="D15" s="63" t="s">
        <v>299</v>
      </c>
      <c r="E15" s="65">
        <v>2</v>
      </c>
      <c r="F15" s="50" t="s">
        <v>154</v>
      </c>
      <c r="G15" s="50"/>
    </row>
    <row r="16" spans="1:10" ht="44.25" customHeight="1">
      <c r="A16" s="50"/>
      <c r="B16" s="67" t="s">
        <v>300</v>
      </c>
      <c r="C16" s="76" t="s">
        <v>301</v>
      </c>
      <c r="D16" s="50" t="s">
        <v>302</v>
      </c>
      <c r="E16" s="65">
        <v>1</v>
      </c>
      <c r="F16" s="50" t="s">
        <v>154</v>
      </c>
      <c r="G16" s="50"/>
      <c r="J16" s="47"/>
    </row>
    <row r="17" spans="1:7" ht="54" customHeight="1">
      <c r="A17" s="66"/>
      <c r="B17" s="67" t="s">
        <v>303</v>
      </c>
      <c r="C17" s="65" t="s">
        <v>304</v>
      </c>
      <c r="D17" s="50" t="s">
        <v>305</v>
      </c>
      <c r="E17" s="65">
        <v>1</v>
      </c>
      <c r="F17" s="50" t="s">
        <v>154</v>
      </c>
      <c r="G17" s="50"/>
    </row>
    <row r="18" spans="1:7" ht="25.5">
      <c r="A18" s="66"/>
      <c r="B18" s="68" t="s">
        <v>306</v>
      </c>
      <c r="C18" s="65" t="s">
        <v>307</v>
      </c>
      <c r="D18" s="50" t="s">
        <v>308</v>
      </c>
      <c r="E18" s="65">
        <v>1</v>
      </c>
      <c r="F18" s="50" t="s">
        <v>154</v>
      </c>
      <c r="G18" s="50"/>
    </row>
    <row r="19" spans="1:7" ht="38.25">
      <c r="A19" s="66" t="s">
        <v>112</v>
      </c>
      <c r="B19" s="68" t="s">
        <v>309</v>
      </c>
      <c r="C19" s="50" t="s">
        <v>310</v>
      </c>
      <c r="D19" s="53" t="s">
        <v>311</v>
      </c>
      <c r="E19" s="50">
        <v>1</v>
      </c>
      <c r="F19" s="50" t="s">
        <v>154</v>
      </c>
      <c r="G19" s="50"/>
    </row>
    <row r="20" spans="1:7" ht="38.25">
      <c r="A20" s="50"/>
      <c r="B20" s="68" t="s">
        <v>312</v>
      </c>
      <c r="C20" s="65" t="s">
        <v>313</v>
      </c>
      <c r="D20" s="50" t="s">
        <v>314</v>
      </c>
      <c r="E20" s="65">
        <v>1</v>
      </c>
      <c r="F20" s="50" t="s">
        <v>154</v>
      </c>
      <c r="G20" s="50"/>
    </row>
    <row r="21" spans="1:7" ht="25.5">
      <c r="A21" s="50"/>
      <c r="B21" s="68" t="s">
        <v>315</v>
      </c>
      <c r="C21" s="50" t="s">
        <v>316</v>
      </c>
      <c r="D21" s="53" t="s">
        <v>317</v>
      </c>
      <c r="E21" s="50">
        <v>1</v>
      </c>
      <c r="F21" s="50" t="s">
        <v>154</v>
      </c>
      <c r="G21" s="50"/>
    </row>
    <row r="22" spans="1:7" ht="38.25">
      <c r="A22" s="71"/>
      <c r="B22" s="67" t="s">
        <v>318</v>
      </c>
      <c r="C22" s="50" t="s">
        <v>319</v>
      </c>
      <c r="D22" s="50" t="s">
        <v>320</v>
      </c>
      <c r="E22" s="50">
        <v>1</v>
      </c>
      <c r="F22" s="50" t="s">
        <v>154</v>
      </c>
      <c r="G22" s="50"/>
    </row>
    <row r="23" spans="1:7" ht="25.5">
      <c r="A23" s="50"/>
      <c r="B23" s="67" t="s">
        <v>321</v>
      </c>
      <c r="C23" s="50" t="s">
        <v>322</v>
      </c>
      <c r="D23" s="50" t="s">
        <v>323</v>
      </c>
      <c r="E23" s="50">
        <v>1</v>
      </c>
      <c r="F23" s="50" t="s">
        <v>154</v>
      </c>
      <c r="G23" s="50"/>
    </row>
    <row r="24" spans="1:7">
      <c r="A24" s="50"/>
      <c r="B24" s="68"/>
      <c r="C24" s="50"/>
      <c r="D24" s="50"/>
      <c r="E24" s="50">
        <f>SUM(E7:E23)</f>
        <v>23</v>
      </c>
      <c r="F24" s="50"/>
      <c r="G24" s="50"/>
    </row>
    <row r="25" spans="1:7">
      <c r="A25" s="73"/>
      <c r="B25" s="74"/>
      <c r="C25" s="73"/>
      <c r="D25" s="73"/>
      <c r="E25" s="73"/>
      <c r="F25" s="73"/>
      <c r="G25" s="73"/>
    </row>
    <row r="29" spans="1:7">
      <c r="C29" s="30"/>
      <c r="D29" s="30"/>
    </row>
    <row r="30" spans="1:7">
      <c r="C30" s="30"/>
      <c r="D30" s="30"/>
    </row>
    <row r="31" spans="1:7">
      <c r="C31" s="30"/>
      <c r="D31" s="30"/>
    </row>
    <row r="32" spans="1:7">
      <c r="C32" s="30"/>
      <c r="D32" s="30"/>
    </row>
    <row r="33" spans="3:4">
      <c r="C33" s="30"/>
      <c r="D33" s="30"/>
    </row>
  </sheetData>
  <mergeCells count="5">
    <mergeCell ref="A5:G5"/>
    <mergeCell ref="A1:G1"/>
    <mergeCell ref="A2:G2"/>
    <mergeCell ref="A3:G3"/>
    <mergeCell ref="A4:G4"/>
  </mergeCells>
  <phoneticPr fontId="1" type="noConversion"/>
  <dataValidations count="3">
    <dataValidation type="list" allowBlank="1" showInputMessage="1" showErrorMessage="1" promptTitle="Task Status" prompt="Current status of Task. One of: Planned, In Progress, On Hold, Completed" sqref="F29:F33 F7:F8 F10:F25" xr:uid="{46A0782B-69CD-4681-8900-F14E3E78BC12}">
      <formula1>"Planned, In Progress, On Hold, Completed"</formula1>
    </dataValidation>
    <dataValidation allowBlank="1" showInputMessage="1" showErrorMessage="1" promptTitle="Estimate" prompt="Estimated hours for the task." sqref="E6" xr:uid="{394EE125-CF9D-4314-9F13-8F791CC7E7E0}"/>
    <dataValidation allowBlank="1" showInputMessage="1" showErrorMessage="1" promptTitle="Task Status" prompt="Current status of Task. One of: Planned, In Progress, On Hold, Completed" sqref="F6" xr:uid="{4188DEA8-28D1-4E80-B41A-84AD97CEB58C}"/>
  </dataValidations>
  <pageMargins left="0.7" right="0.7" top="0.75" bottom="0.75" header="0.3" footer="0.3"/>
  <pageSetup scale="66"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18661-26EA-4D84-8EA0-101616C917B5}">
  <sheetPr>
    <pageSetUpPr fitToPage="1"/>
  </sheetPr>
  <dimension ref="A1:J33"/>
  <sheetViews>
    <sheetView tabSelected="1" zoomScale="110" workbookViewId="0">
      <selection activeCell="E22" sqref="E22"/>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10" t="s">
        <v>226</v>
      </c>
      <c r="B1" s="110"/>
      <c r="C1" s="110"/>
      <c r="D1" s="110"/>
      <c r="E1" s="110"/>
      <c r="F1" s="110"/>
      <c r="G1" s="110"/>
    </row>
    <row r="2" spans="1:10" ht="14.45" customHeight="1">
      <c r="A2" s="111"/>
      <c r="B2" s="111"/>
      <c r="C2" s="111"/>
      <c r="D2" s="111"/>
      <c r="E2" s="111"/>
      <c r="F2" s="111"/>
      <c r="G2" s="111"/>
    </row>
    <row r="3" spans="1:10" ht="27.4" customHeight="1">
      <c r="A3" s="112" t="s">
        <v>227</v>
      </c>
      <c r="B3" s="112"/>
      <c r="C3" s="112"/>
      <c r="D3" s="112"/>
      <c r="E3" s="112"/>
      <c r="F3" s="112"/>
      <c r="G3" s="112"/>
    </row>
    <row r="4" spans="1:10" ht="83.25" customHeight="1">
      <c r="A4" s="113"/>
      <c r="B4" s="113"/>
      <c r="C4" s="113"/>
      <c r="D4" s="113"/>
      <c r="E4" s="113"/>
      <c r="F4" s="113"/>
      <c r="G4" s="113"/>
    </row>
    <row r="5" spans="1:10" ht="14.45" customHeight="1">
      <c r="A5" s="111"/>
      <c r="B5" s="111"/>
      <c r="C5" s="111"/>
      <c r="D5" s="111"/>
      <c r="E5" s="111"/>
      <c r="F5" s="111"/>
      <c r="G5" s="111"/>
    </row>
    <row r="6" spans="1:10" s="31" customFormat="1" ht="40.5" customHeight="1">
      <c r="A6" s="51" t="s">
        <v>143</v>
      </c>
      <c r="B6" s="51" t="s">
        <v>144</v>
      </c>
      <c r="C6" s="51" t="s">
        <v>145</v>
      </c>
      <c r="D6" s="51" t="s">
        <v>146</v>
      </c>
      <c r="E6" s="52" t="s">
        <v>147</v>
      </c>
      <c r="F6" s="51" t="s">
        <v>148</v>
      </c>
      <c r="G6" s="51" t="s">
        <v>149</v>
      </c>
    </row>
    <row r="7" spans="1:10" ht="25.5">
      <c r="A7" s="58" t="s">
        <v>324</v>
      </c>
      <c r="B7" s="59" t="s">
        <v>325</v>
      </c>
      <c r="C7" s="50" t="s">
        <v>326</v>
      </c>
      <c r="D7" s="50" t="s">
        <v>327</v>
      </c>
      <c r="E7" s="50">
        <v>3</v>
      </c>
      <c r="F7" s="50" t="s">
        <v>154</v>
      </c>
      <c r="G7" s="50"/>
    </row>
    <row r="8" spans="1:10" ht="38.25">
      <c r="A8" s="60"/>
      <c r="B8" s="61" t="s">
        <v>328</v>
      </c>
      <c r="C8" s="60" t="s">
        <v>329</v>
      </c>
      <c r="D8" s="60" t="s">
        <v>330</v>
      </c>
      <c r="E8" s="50">
        <v>4</v>
      </c>
      <c r="F8" s="50" t="s">
        <v>154</v>
      </c>
      <c r="G8" s="50"/>
    </row>
    <row r="9" spans="1:10" ht="41.25" customHeight="1">
      <c r="A9" s="78"/>
      <c r="B9" s="78" t="s">
        <v>331</v>
      </c>
      <c r="C9" s="78" t="s">
        <v>332</v>
      </c>
      <c r="D9" s="79" t="s">
        <v>333</v>
      </c>
      <c r="E9" s="80">
        <v>4</v>
      </c>
      <c r="F9" s="80" t="s">
        <v>154</v>
      </c>
      <c r="G9" s="50"/>
    </row>
    <row r="10" spans="1:10" ht="25.5">
      <c r="A10" s="66"/>
      <c r="B10" s="67" t="s">
        <v>334</v>
      </c>
      <c r="C10" s="81" t="s">
        <v>335</v>
      </c>
      <c r="D10" s="77" t="s">
        <v>336</v>
      </c>
      <c r="E10" s="50">
        <v>5</v>
      </c>
      <c r="F10" s="50" t="s">
        <v>154</v>
      </c>
      <c r="G10" s="50"/>
    </row>
    <row r="11" spans="1:10" ht="51" customHeight="1">
      <c r="A11" s="60" t="s">
        <v>337</v>
      </c>
      <c r="B11" s="61" t="s">
        <v>338</v>
      </c>
      <c r="C11" s="84" t="s">
        <v>339</v>
      </c>
      <c r="D11" s="63" t="s">
        <v>340</v>
      </c>
      <c r="E11" s="50">
        <v>1.5</v>
      </c>
      <c r="F11" s="50" t="s">
        <v>154</v>
      </c>
      <c r="G11" s="50"/>
      <c r="H11" s="32"/>
    </row>
    <row r="12" spans="1:10" ht="51" customHeight="1">
      <c r="A12" s="50"/>
      <c r="B12" s="80" t="s">
        <v>341</v>
      </c>
      <c r="C12" s="82" t="s">
        <v>342</v>
      </c>
      <c r="D12" s="83" t="s">
        <v>343</v>
      </c>
      <c r="E12" s="80">
        <v>12</v>
      </c>
      <c r="F12" s="50" t="s">
        <v>154</v>
      </c>
      <c r="G12" s="50"/>
      <c r="H12" s="32"/>
    </row>
    <row r="13" spans="1:10" ht="15">
      <c r="A13" s="66"/>
      <c r="B13" s="68"/>
      <c r="C13" s="66"/>
      <c r="D13" s="63"/>
      <c r="E13" s="65"/>
      <c r="F13" s="50"/>
      <c r="G13" s="50"/>
      <c r="H13" s="32"/>
    </row>
    <row r="14" spans="1:10" ht="15">
      <c r="A14" s="60"/>
      <c r="B14" s="61"/>
      <c r="C14" s="82"/>
      <c r="D14" s="85"/>
      <c r="E14" s="50"/>
      <c r="F14" s="50"/>
      <c r="G14" s="50"/>
      <c r="H14" s="32"/>
    </row>
    <row r="15" spans="1:10" ht="36" customHeight="1">
      <c r="A15" s="108" t="s">
        <v>344</v>
      </c>
      <c r="B15" s="114" t="s">
        <v>345</v>
      </c>
      <c r="C15" s="116" t="s">
        <v>346</v>
      </c>
      <c r="D15" s="108" t="s">
        <v>347</v>
      </c>
      <c r="E15" s="118">
        <v>3</v>
      </c>
      <c r="F15" s="108" t="s">
        <v>154</v>
      </c>
      <c r="G15" s="108"/>
    </row>
    <row r="16" spans="1:10" ht="44.25" customHeight="1">
      <c r="A16" s="109"/>
      <c r="B16" s="115"/>
      <c r="C16" s="117"/>
      <c r="D16" s="109"/>
      <c r="E16" s="117"/>
      <c r="F16" s="109"/>
      <c r="G16" s="109"/>
      <c r="J16" s="47"/>
    </row>
    <row r="17" spans="1:7" ht="54" customHeight="1">
      <c r="A17" s="66"/>
      <c r="B17" s="67"/>
      <c r="C17" s="65"/>
      <c r="D17" s="50"/>
      <c r="E17" s="65"/>
      <c r="F17" s="50"/>
      <c r="G17" s="50"/>
    </row>
    <row r="18" spans="1:7" ht="51">
      <c r="A18" s="66" t="s">
        <v>348</v>
      </c>
      <c r="B18" s="68" t="s">
        <v>349</v>
      </c>
      <c r="C18" s="65" t="s">
        <v>350</v>
      </c>
      <c r="D18" s="50" t="s">
        <v>354</v>
      </c>
      <c r="E18">
        <v>3</v>
      </c>
      <c r="F18" s="50"/>
      <c r="G18" s="50"/>
    </row>
    <row r="19" spans="1:7" ht="76.5">
      <c r="A19" s="66"/>
      <c r="B19" s="68" t="s">
        <v>351</v>
      </c>
      <c r="C19" s="50" t="s">
        <v>352</v>
      </c>
      <c r="D19" s="50" t="s">
        <v>355</v>
      </c>
      <c r="E19" s="50">
        <v>3</v>
      </c>
      <c r="F19" s="50"/>
      <c r="G19" s="50"/>
    </row>
    <row r="20" spans="1:7" ht="38.25">
      <c r="A20" s="50"/>
      <c r="B20" s="68"/>
      <c r="C20" s="65" t="s">
        <v>353</v>
      </c>
      <c r="D20" s="126" t="s">
        <v>356</v>
      </c>
      <c r="E20">
        <v>1</v>
      </c>
      <c r="F20" s="50"/>
      <c r="G20" s="50"/>
    </row>
    <row r="21" spans="1:7">
      <c r="A21" s="50"/>
      <c r="B21" s="68"/>
      <c r="C21" s="50"/>
      <c r="D21" s="53"/>
      <c r="E21" s="65">
        <f>SUM(E7:E20)</f>
        <v>39.5</v>
      </c>
      <c r="F21" s="50"/>
      <c r="G21" s="50"/>
    </row>
    <row r="22" spans="1:7">
      <c r="A22" s="71"/>
      <c r="B22" s="67"/>
      <c r="C22" s="50"/>
      <c r="D22" s="50"/>
      <c r="E22" s="50"/>
      <c r="F22" s="50"/>
      <c r="G22" s="50"/>
    </row>
    <row r="23" spans="1:7">
      <c r="A23" s="50"/>
      <c r="B23" s="67"/>
      <c r="C23" s="50"/>
      <c r="D23" s="50"/>
      <c r="E23" s="50"/>
      <c r="F23" s="50"/>
      <c r="G23" s="50"/>
    </row>
    <row r="24" spans="1:7">
      <c r="A24" s="50"/>
      <c r="B24" s="68"/>
      <c r="C24" s="50"/>
      <c r="D24" s="50"/>
      <c r="E24" s="50"/>
      <c r="F24" s="50"/>
      <c r="G24" s="50"/>
    </row>
    <row r="25" spans="1:7">
      <c r="A25" s="73"/>
      <c r="B25" s="74"/>
      <c r="C25" s="73"/>
      <c r="D25" s="73"/>
      <c r="E25" s="73"/>
      <c r="F25" s="73"/>
      <c r="G25" s="73"/>
    </row>
    <row r="29" spans="1:7">
      <c r="C29" s="30"/>
      <c r="D29" s="30"/>
    </row>
    <row r="30" spans="1:7">
      <c r="C30" s="30"/>
      <c r="D30" s="30"/>
    </row>
    <row r="31" spans="1:7">
      <c r="C31" s="30"/>
      <c r="D31" s="30"/>
    </row>
    <row r="32" spans="1:7">
      <c r="C32" s="30"/>
      <c r="D32" s="30"/>
    </row>
    <row r="33" spans="3:4">
      <c r="C33" s="30"/>
      <c r="D33" s="30"/>
    </row>
  </sheetData>
  <mergeCells count="12">
    <mergeCell ref="F15:F16"/>
    <mergeCell ref="G15:G16"/>
    <mergeCell ref="A1:G1"/>
    <mergeCell ref="A2:G2"/>
    <mergeCell ref="A3:G3"/>
    <mergeCell ref="A4:G4"/>
    <mergeCell ref="A5:G5"/>
    <mergeCell ref="D15:D16"/>
    <mergeCell ref="A15:A16"/>
    <mergeCell ref="B15:B16"/>
    <mergeCell ref="C15:C16"/>
    <mergeCell ref="E15:E16"/>
  </mergeCells>
  <phoneticPr fontId="1" type="noConversion"/>
  <dataValidations count="3">
    <dataValidation allowBlank="1" showInputMessage="1" showErrorMessage="1" promptTitle="Task Status" prompt="Current status of Task. One of: Planned, In Progress, On Hold, Completed" sqref="F6" xr:uid="{541A9492-1D90-4025-A038-03BD663D3D14}"/>
    <dataValidation allowBlank="1" showInputMessage="1" showErrorMessage="1" promptTitle="Estimate" prompt="Estimated hours for the task." sqref="E6" xr:uid="{E158DCD1-87DF-4A81-9FF5-6C349B1F73D3}"/>
    <dataValidation type="list" allowBlank="1" showInputMessage="1" showErrorMessage="1" promptTitle="Task Status" prompt="Current status of Task. One of: Planned, In Progress, On Hold, Completed" sqref="F29:F33 F7:F8 F10:F15 F17:F25" xr:uid="{B28294E2-BAC3-4DC3-A4EB-C95105EF4854}">
      <formula1>"Planned, In Progress, On Hold, Completed"</formula1>
    </dataValidation>
  </dataValidations>
  <pageMargins left="0.7" right="0.7" top="0.75" bottom="0.75" header="0.3" footer="0.3"/>
  <pageSetup scale="66"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Product Backlog</vt:lpstr>
      <vt:lpstr>Sheet1</vt:lpstr>
      <vt:lpstr>Sprint 1</vt:lpstr>
      <vt:lpstr>Product backlog 2 sample</vt:lpstr>
      <vt:lpstr>Sprint 2</vt:lpstr>
      <vt:lpstr>Sprint 3</vt:lpstr>
      <vt:lpstr>Sprint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 kotb</cp:lastModifiedBy>
  <cp:revision/>
  <dcterms:created xsi:type="dcterms:W3CDTF">2026-01-31T00:35:04Z</dcterms:created>
  <dcterms:modified xsi:type="dcterms:W3CDTF">2026-04-14T23:30:00Z</dcterms:modified>
  <cp:category/>
  <cp:contentStatus/>
</cp:coreProperties>
</file>